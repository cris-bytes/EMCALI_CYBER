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e6ffec345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_Master" sheetId="1" r:id="Rdfc9b78335e54911"/>
    <x:sheet xmlns:r="http://schemas.openxmlformats.org/officeDocument/2006/relationships" name="Run_Results" sheetId="2" r:id="R3667c973b22e401f"/>
    <x:sheet xmlns:r="http://schemas.openxmlformats.org/officeDocument/2006/relationships" name="RQ_Metrics" sheetId="3" r:id="R386213f8ec4d496a"/>
    <x:sheet xmlns:r="http://schemas.openxmlformats.org/officeDocument/2006/relationships" name="Protocol" sheetId="4" r:id="R489c36ffec0a4f2e"/>
    <x:sheet xmlns:r="http://schemas.openxmlformats.org/officeDocument/2006/relationships" name="Sources" sheetId="5" r:id="Rfc4ff16499414b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132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afc746abf492c" /><Relationship Type="http://schemas.openxmlformats.org/officeDocument/2006/relationships/theme" Target="/xl/theme/theme1.xml" Id="R4cf44dc6b4ab4d5d" /><Relationship Type="http://schemas.openxmlformats.org/officeDocument/2006/relationships/sharedStrings" Target="/xl/sharedStrings.xml" Id="R22f5d67720a540ac" /><Relationship Type="http://schemas.openxmlformats.org/officeDocument/2006/relationships/worksheet" Target="/xl/worksheets/sheet1.xml" Id="Rdfc9b78335e54911" /><Relationship Type="http://schemas.openxmlformats.org/officeDocument/2006/relationships/worksheet" Target="/xl/worksheets/sheet2.xml" Id="R3667c973b22e401f" /><Relationship Type="http://schemas.openxmlformats.org/officeDocument/2006/relationships/worksheet" Target="/xl/worksheets/sheet3.xml" Id="R386213f8ec4d496a" /><Relationship Type="http://schemas.openxmlformats.org/officeDocument/2006/relationships/worksheet" Target="/xl/worksheets/sheet4.xml" Id="R489c36ffec0a4f2e" /><Relationship Type="http://schemas.openxmlformats.org/officeDocument/2006/relationships/worksheet" Target="/xl/worksheets/sheet5.xml" Id="Rfc4ff16499414b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48" hidden="0" customWidth="1"/>
    <x:col min="6" max="6" width="20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42" hidden="0" customWidth="1"/>
    <x:col min="12" max="12" width="14" hidden="0" customWidth="1"/>
    <x:col min="13" max="13" width="16" hidden="0" customWidth="1"/>
    <x:col min="14" max="14" width="14" hidden="0" customWidth="1"/>
    <x:col min="15" max="15" width="18" hidden="0" customWidth="1"/>
    <x:col min="16" max="16" width="18" hidden="0" customWidth="1"/>
    <x:col min="17" max="17" width="14" hidden="0" customWidth="1"/>
    <x:col min="18" max="18" width="20" hidden="0" customWidth="1"/>
    <x:col min="19" max="19" width="16" hidden="0" customWidth="1"/>
    <x:col min="20" max="20" width="14" hidden="0" customWidth="1"/>
    <x:col min="21" max="21" width="48" hidden="0" customWidth="1"/>
    <x:col min="22" max="22" width="55" hidden="0" customWidth="1"/>
    <x:col min="23" max="23" width="45" hidden="0" customWidth="1"/>
  </x:cols>
  <x:sheetData>
    <x:row r="1">
      <x:c r="A1" s="10" t="str">
        <x:v>run_group</x:v>
      </x:c>
      <x:c r="B1" s="10" t="str">
        <x:v>cve</x:v>
      </x:c>
      <x:c r="C1" s="10" t="str">
        <x:v>vendor</x:v>
      </x:c>
      <x:c r="D1" s="10" t="str">
        <x:v>product</x:v>
      </x:c>
      <x:c r="E1" s="10" t="str">
        <x:v>title</x:v>
      </x:c>
      <x:c r="F1" s="10" t="str">
        <x:v>cwe</x:v>
      </x:c>
      <x:c r="G1" s="10" t="str">
        <x:v>cisa_kev</x:v>
      </x:c>
      <x:c r="H1" s="10" t="str">
        <x:v>kev_date</x:v>
      </x:c>
      <x:c r="I1" s="10" t="str">
        <x:v>cvss_official</x:v>
      </x:c>
      <x:c r="J1" s="10" t="str">
        <x:v>cvss_version</x:v>
      </x:c>
      <x:c r="K1" s="10" t="str">
        <x:v>cvss_vector</x:v>
      </x:c>
      <x:c r="L1" s="10" t="str">
        <x:v>epss_official</x:v>
      </x:c>
      <x:c r="M1" s="10" t="str">
        <x:v>epss_percentile</x:v>
      </x:c>
      <x:c r="N1" s="10" t="str">
        <x:v>epss_date</x:v>
      </x:c>
      <x:c r="O1" s="10" t="str">
        <x:v>asset</x:v>
      </x:c>
      <x:c r="P1" s="10" t="str">
        <x:v>asset_criticality</x:v>
      </x:c>
      <x:c r="Q1" s="10" t="str">
        <x:v>exposure</x:v>
      </x:c>
      <x:c r="R1" s="10" t="str">
        <x:v>operational_impact</x:v>
      </x:c>
      <x:c r="S1" s="10" t="str">
        <x:v>risk_score_v12</x:v>
      </x:c>
      <x:c r="T1" s="10" t="str">
        <x:v>risk_band</x:v>
      </x:c>
      <x:c r="U1" s="10" t="str">
        <x:v>nvd_url</x:v>
      </x:c>
      <x:c r="V1" s="10" t="str">
        <x:v>epss_source</x:v>
      </x:c>
      <x:c r="W1" s="10" t="str">
        <x:v>provenance_status</x:v>
      </x:c>
    </x:row>
    <x:row r="2">
      <x:c r="A2" s="11" t="str">
        <x:v>V2-FROZEN-50</x:v>
      </x:c>
      <x:c r="B2" s="11" t="str">
        <x:v>CVE-2026-86950</x:v>
      </x:c>
      <x:c r="C2" s="11" t="str">
        <x:v>Apple</x:v>
      </x:c>
      <x:c r="D2" s="11" t="str">
        <x:v>Multiple Products</x:v>
      </x:c>
      <x:c r="E2" s="11" t="str">
        <x:v>Apple Multiple Products Out-of-Bounds Write Vulnerability</x:v>
      </x:c>
      <x:c r="F2" s="11" t="str">
        <x:v>CWE-787</x:v>
      </x:c>
      <x:c r="G2" s="11" t="str">
        <x:v>YES</x:v>
      </x:c>
      <x:c r="H2" s="11" t="str">
        <x:v>2026-09-29</x:v>
      </x:c>
      <x:c r="I2" s="11"/>
      <x:c r="J2" s="11"/>
      <x:c r="K2" s="11"/>
      <x:c r="L2" s="11"/>
      <x:c r="M2" s="11"/>
      <x:c r="N2" s="11"/>
      <x:c r="O2" s="11" t="str">
        <x:v>LAB-ASSET-001</x:v>
      </x:c>
      <x:c r="P2" s="11" t="str">
        <x:v>High</x:v>
      </x:c>
      <x:c r="Q2" s="11" t="str">
        <x:v>DMZ</x:v>
      </x:c>
      <x:c r="R2" s="11" t="str">
        <x:v>Critical</x:v>
      </x:c>
      <x:c r="S2" s="11"/>
      <x:c r="T2" s="11"/>
      <x:c r="U2" s="11" t="str">
        <x:v>https://nvd.nist.gov/vuln/detail/CVE-2026-86950</x:v>
      </x:c>
      <x:c r="V2" s="11" t="str">
        <x:v>https://api.first.org/data/v1/epss?cve=CVE-2026-86950</x:v>
      </x:c>
      <x:c r="W2" s="11" t="str">
        <x:v>OFFICIAL_CVE_KEV_IDENTITY / CVSS_EPSS_PENDING_REFRESH</x:v>
      </x:c>
    </x:row>
    <x:row r="3">
      <x:c r="A3" s="11" t="str">
        <x:v>V2-FROZEN-50</x:v>
      </x:c>
      <x:c r="B3" s="11" t="str">
        <x:v>CVE-2026-88772</x:v>
      </x:c>
      <x:c r="C3" s="11" t="str">
        <x:v>Citrix</x:v>
      </x:c>
      <x:c r="D3" s="11" t="str">
        <x:v>NetScaler</x:v>
      </x:c>
      <x:c r="E3" s="11" t="str">
        <x:v>Citrix NetScaler Improper Restriction of Operations within the Bounds of a Memory Buffer Vulnerability</x:v>
      </x:c>
      <x:c r="F3" s="11" t="str">
        <x:v>CWE-119</x:v>
      </x:c>
      <x:c r="G3" s="11" t="str">
        <x:v>YES</x:v>
      </x:c>
      <x:c r="H3" s="11" t="str">
        <x:v>2026-09-27</x:v>
      </x:c>
      <x:c r="I3" s="11"/>
      <x:c r="J3" s="11"/>
      <x:c r="K3" s="11"/>
      <x:c r="L3" s="11"/>
      <x:c r="M3" s="11"/>
      <x:c r="N3" s="11"/>
      <x:c r="O3" s="11" t="str">
        <x:v>LAB-ASSET-002</x:v>
      </x:c>
      <x:c r="P3" s="11" t="str">
        <x:v>Medium</x:v>
      </x:c>
      <x:c r="Q3" s="11" t="str">
        <x:v>Internal</x:v>
      </x:c>
      <x:c r="R3" s="11" t="str">
        <x:v>Critical</x:v>
      </x:c>
      <x:c r="S3" s="11"/>
      <x:c r="T3" s="11"/>
      <x:c r="U3" s="11" t="str">
        <x:v>https://nvd.nist.gov/vuln/detail/CVE-2026-88772</x:v>
      </x:c>
      <x:c r="V3" s="11" t="str">
        <x:v>https://api.first.org/data/v1/epss?cve=CVE-2026-88772</x:v>
      </x:c>
      <x:c r="W3" s="11" t="str">
        <x:v>OFFICIAL_CVE_KEV_IDENTITY / CVSS_EPSS_PENDING_REFRESH</x:v>
      </x:c>
    </x:row>
    <x:row r="4">
      <x:c r="A4" s="11" t="str">
        <x:v>V2-FROZEN-50</x:v>
      </x:c>
      <x:c r="B4" s="11" t="str">
        <x:v>CVE-2026-88771</x:v>
      </x:c>
      <x:c r="C4" s="11" t="str">
        <x:v>Citrix</x:v>
      </x:c>
      <x:c r="D4" s="11" t="str">
        <x:v>NetScaler</x:v>
      </x:c>
      <x:c r="E4" s="11" t="str">
        <x:v>Citrix NetScaler Improper Input Validation Vulnerability</x:v>
      </x:c>
      <x:c r="F4" s="11" t="str">
        <x:v>CWE-119</x:v>
      </x:c>
      <x:c r="G4" s="11" t="str">
        <x:v>YES</x:v>
      </x:c>
      <x:c r="H4" s="11" t="str">
        <x:v>2026-09-27</x:v>
      </x:c>
      <x:c r="I4" s="11"/>
      <x:c r="J4" s="11"/>
      <x:c r="K4" s="11"/>
      <x:c r="L4" s="11"/>
      <x:c r="M4" s="11"/>
      <x:c r="N4" s="11"/>
      <x:c r="O4" s="11" t="str">
        <x:v>LAB-ASSET-003</x:v>
      </x:c>
      <x:c r="P4" s="11" t="str">
        <x:v>High</x:v>
      </x:c>
      <x:c r="Q4" s="11" t="str">
        <x:v>DMZ</x:v>
      </x:c>
      <x:c r="R4" s="11" t="str">
        <x:v>High</x:v>
      </x:c>
      <x:c r="S4" s="11"/>
      <x:c r="T4" s="11"/>
      <x:c r="U4" s="11" t="str">
        <x:v>https://nvd.nist.gov/vuln/detail/CVE-2026-88771</x:v>
      </x:c>
      <x:c r="V4" s="11" t="str">
        <x:v>https://api.first.org/data/v1/epss?cve=CVE-2026-88771</x:v>
      </x:c>
      <x:c r="W4" s="11" t="str">
        <x:v>OFFICIAL_CVE_KEV_IDENTITY / CVSS_EPSS_PENDING_REFRESH</x:v>
      </x:c>
    </x:row>
    <x:row r="5">
      <x:c r="A5" s="11" t="str">
        <x:v>V2-FROZEN-50</x:v>
      </x:c>
      <x:c r="B5" s="11" t="str">
        <x:v>CVE-2026-67279</x:v>
      </x:c>
      <x:c r="C5" s="11" t="str">
        <x:v>MikroTik</x:v>
      </x:c>
      <x:c r="D5" s="11" t="str">
        <x:v>RouterOS</x:v>
      </x:c>
      <x:c r="E5" s="11" t="str">
        <x:v>Mikrotik RouterOS Improper Enforcement of Behavioral Workflow Vulnerability</x:v>
      </x:c>
      <x:c r="F5" s="11" t="str">
        <x:v>CWE-841</x:v>
      </x:c>
      <x:c r="G5" s="11" t="str">
        <x:v>YES</x:v>
      </x:c>
      <x:c r="H5" s="11" t="str">
        <x:v>2026-09-25</x:v>
      </x:c>
      <x:c r="I5" s="11"/>
      <x:c r="J5" s="11"/>
      <x:c r="K5" s="11"/>
      <x:c r="L5" s="11"/>
      <x:c r="M5" s="11"/>
      <x:c r="N5" s="11"/>
      <x:c r="O5" s="11" t="str">
        <x:v>LAB-ASSET-004</x:v>
      </x:c>
      <x:c r="P5" s="11" t="str">
        <x:v>Low</x:v>
      </x:c>
      <x:c r="Q5" s="11" t="str">
        <x:v>Internet</x:v>
      </x:c>
      <x:c r="R5" s="11" t="str">
        <x:v>Medium</x:v>
      </x:c>
      <x:c r="S5" s="11"/>
      <x:c r="T5" s="11"/>
      <x:c r="U5" s="11" t="str">
        <x:v>https://nvd.nist.gov/vuln/detail/CVE-2026-67279</x:v>
      </x:c>
      <x:c r="V5" s="11" t="str">
        <x:v>https://api.first.org/data/v1/epss?cve=CVE-2026-67279</x:v>
      </x:c>
      <x:c r="W5" s="11" t="str">
        <x:v>OFFICIAL_CVE_KEV_IDENTITY / CVSS_EPSS_PENDING_REFRESH</x:v>
      </x:c>
    </x:row>
    <x:row r="6">
      <x:c r="A6" s="11" t="str">
        <x:v>V2-FROZEN-50</x:v>
      </x:c>
      <x:c r="B6" s="11" t="str">
        <x:v>CVE-2026-65660</x:v>
      </x:c>
      <x:c r="C6" s="11" t="str">
        <x:v>Microsoft</x:v>
      </x:c>
      <x:c r="D6" s="11" t="str">
        <x:v>SharePoint</x:v>
      </x:c>
      <x:c r="E6" s="11" t="str">
        <x:v>Microsoft SharePoint Code Injection Vulnerability</x:v>
      </x:c>
      <x:c r="F6" s="11" t="str">
        <x:v>CWE-94</x:v>
      </x:c>
      <x:c r="G6" s="11" t="str">
        <x:v>YES</x:v>
      </x:c>
      <x:c r="H6" s="11" t="str">
        <x:v>2026-09-25</x:v>
      </x:c>
      <x:c r="I6" s="11"/>
      <x:c r="J6" s="11"/>
      <x:c r="K6" s="11"/>
      <x:c r="L6" s="11"/>
      <x:c r="M6" s="11"/>
      <x:c r="N6" s="11"/>
      <x:c r="O6" s="11" t="str">
        <x:v>LAB-ASSET-005</x:v>
      </x:c>
      <x:c r="P6" s="11" t="str">
        <x:v>Critical</x:v>
      </x:c>
      <x:c r="Q6" s="11" t="str">
        <x:v>DMZ</x:v>
      </x:c>
      <x:c r="R6" s="11" t="str">
        <x:v>Critical</x:v>
      </x:c>
      <x:c r="S6" s="11"/>
      <x:c r="T6" s="11"/>
      <x:c r="U6" s="11" t="str">
        <x:v>https://nvd.nist.gov/vuln/detail/CVE-2026-65660</x:v>
      </x:c>
      <x:c r="V6" s="11" t="str">
        <x:v>https://api.first.org/data/v1/epss?cve=CVE-2026-65660</x:v>
      </x:c>
      <x:c r="W6" s="11" t="str">
        <x:v>OFFICIAL_CVE_KEV_IDENTITY / CVSS_EPSS_PENDING_REFRESH</x:v>
      </x:c>
    </x:row>
    <x:row r="7">
      <x:c r="A7" s="11" t="str">
        <x:v>V2-FROZEN-50</x:v>
      </x:c>
      <x:c r="B7" s="11" t="str">
        <x:v>CVE-2026-87902</x:v>
      </x:c>
      <x:c r="C7" s="11" t="str">
        <x:v>WordPress</x:v>
      </x:c>
      <x:c r="D7" s="11" t="str">
        <x:v>Core</x:v>
      </x:c>
      <x:c r="E7" s="11" t="str">
        <x:v>WordPress Core Remote File Inclusion Vulnerability</x:v>
      </x:c>
      <x:c r="F7" s="11" t="str">
        <x:v>CWE-98</x:v>
      </x:c>
      <x:c r="G7" s="11" t="str">
        <x:v>YES</x:v>
      </x:c>
      <x:c r="H7" s="11" t="str">
        <x:v>2026-09-25</x:v>
      </x:c>
      <x:c r="I7" s="11"/>
      <x:c r="J7" s="11"/>
      <x:c r="K7" s="11"/>
      <x:c r="L7" s="11"/>
      <x:c r="M7" s="11"/>
      <x:c r="N7" s="11"/>
      <x:c r="O7" s="11" t="str">
        <x:v>LAB-ASSET-006</x:v>
      </x:c>
      <x:c r="P7" s="11" t="str">
        <x:v>Medium</x:v>
      </x:c>
      <x:c r="Q7" s="11" t="str">
        <x:v>Internet</x:v>
      </x:c>
      <x:c r="R7" s="11" t="str">
        <x:v>Critical</x:v>
      </x:c>
      <x:c r="S7" s="11"/>
      <x:c r="T7" s="11"/>
      <x:c r="U7" s="11" t="str">
        <x:v>https://nvd.nist.gov/vuln/detail/CVE-2026-87902</x:v>
      </x:c>
      <x:c r="V7" s="11" t="str">
        <x:v>https://api.first.org/data/v1/epss?cve=CVE-2026-87902</x:v>
      </x:c>
      <x:c r="W7" s="11" t="str">
        <x:v>OFFICIAL_CVE_KEV_IDENTITY / CVSS_EPSS_PENDING_REFRESH</x:v>
      </x:c>
    </x:row>
    <x:row r="8">
      <x:c r="A8" s="11" t="str">
        <x:v>V2-FROZEN-50</x:v>
      </x:c>
      <x:c r="B8" s="11" t="str">
        <x:v>CVE-2026-5430</x:v>
      </x:c>
      <x:c r="C8" s="11" t="str">
        <x:v>WSO2</x:v>
      </x:c>
      <x:c r="D8" s="11" t="str">
        <x:v>Multiple Products</x:v>
      </x:c>
      <x:c r="E8" s="11" t="str">
        <x:v>WSO2 Multiple Products Path Traversal Vulnerability</x:v>
      </x:c>
      <x:c r="F8" s="11" t="str">
        <x:v>CWE-347</x:v>
      </x:c>
      <x:c r="G8" s="11" t="str">
        <x:v>YES</x:v>
      </x:c>
      <x:c r="H8" s="11" t="str">
        <x:v>2026-09-24</x:v>
      </x:c>
      <x:c r="I8" s="11"/>
      <x:c r="J8" s="11"/>
      <x:c r="K8" s="11"/>
      <x:c r="L8" s="11"/>
      <x:c r="M8" s="11"/>
      <x:c r="N8" s="11"/>
      <x:c r="O8" s="11" t="str">
        <x:v>LAB-ASSET-007</x:v>
      </x:c>
      <x:c r="P8" s="11" t="str">
        <x:v>Medium</x:v>
      </x:c>
      <x:c r="Q8" s="11" t="str">
        <x:v>Internal</x:v>
      </x:c>
      <x:c r="R8" s="11" t="str">
        <x:v>High</x:v>
      </x:c>
      <x:c r="S8" s="11"/>
      <x:c r="T8" s="11"/>
      <x:c r="U8" s="11" t="str">
        <x:v>https://nvd.nist.gov/vuln/detail/CVE-2026-5430</x:v>
      </x:c>
      <x:c r="V8" s="11" t="str">
        <x:v>https://api.first.org/data/v1/epss?cve=CVE-2026-5430</x:v>
      </x:c>
      <x:c r="W8" s="11" t="str">
        <x:v>OFFICIAL_CVE_KEV_IDENTITY / CVSS_EPSS_PENDING_REFRESH</x:v>
      </x:c>
    </x:row>
    <x:row r="9">
      <x:c r="A9" s="11" t="str">
        <x:v>V2-FROZEN-50</x:v>
      </x:c>
      <x:c r="B9" s="11" t="str">
        <x:v>CVE-2026-71362</x:v>
      </x:c>
      <x:c r="C9" s="11" t="str">
        <x:v>Adobe</x:v>
      </x:c>
      <x:c r="D9" s="11" t="str">
        <x:v>Commerce and Magento</x:v>
      </x:c>
      <x:c r="E9" s="11" t="str">
        <x:v>Adobe Commerce and Magento Incorrect Authorization Vulnerability</x:v>
      </x:c>
      <x:c r="F9" s="11" t="str">
        <x:v>CWE-863</x:v>
      </x:c>
      <x:c r="G9" s="11" t="str">
        <x:v>YES</x:v>
      </x:c>
      <x:c r="H9" s="11" t="str">
        <x:v>2026-09-24</x:v>
      </x:c>
      <x:c r="I9" s="11"/>
      <x:c r="J9" s="11"/>
      <x:c r="K9" s="11"/>
      <x:c r="L9" s="11"/>
      <x:c r="M9" s="11"/>
      <x:c r="N9" s="11"/>
      <x:c r="O9" s="11" t="str">
        <x:v>LAB-ASSET-008</x:v>
      </x:c>
      <x:c r="P9" s="11" t="str">
        <x:v>High</x:v>
      </x:c>
      <x:c r="Q9" s="11" t="str">
        <x:v>Internal</x:v>
      </x:c>
      <x:c r="R9" s="11" t="str">
        <x:v>Medium</x:v>
      </x:c>
      <x:c r="S9" s="11"/>
      <x:c r="T9" s="11"/>
      <x:c r="U9" s="11" t="str">
        <x:v>https://nvd.nist.gov/vuln/detail/CVE-2026-71362</x:v>
      </x:c>
      <x:c r="V9" s="11" t="str">
        <x:v>https://api.first.org/data/v1/epss?cve=CVE-2026-71362</x:v>
      </x:c>
      <x:c r="W9" s="11" t="str">
        <x:v>OFFICIAL_CVE_KEV_IDENTITY / CVSS_EPSS_PENDING_REFRESH</x:v>
      </x:c>
    </x:row>
    <x:row r="10">
      <x:c r="A10" s="11" t="str">
        <x:v>V2-FROZEN-50</x:v>
      </x:c>
      <x:c r="B10" s="11" t="str">
        <x:v>CVE-2026-93952</x:v>
      </x:c>
      <x:c r="C10" s="11" t="str">
        <x:v>Arista</x:v>
      </x:c>
      <x:c r="D10" s="11" t="str">
        <x:v>VeloCloud Orchestrator</x:v>
      </x:c>
      <x:c r="E10" s="11" t="str">
        <x:v>Arista VeloCloud Orchestrator Improper Input Validation Vulnerability</x:v>
      </x:c>
      <x:c r="F10" s="11" t="str">
        <x:v>CWE-20</x:v>
      </x:c>
      <x:c r="G10" s="11" t="str">
        <x:v>YES</x:v>
      </x:c>
      <x:c r="H10" s="11" t="str">
        <x:v>2026-09-22</x:v>
      </x:c>
      <x:c r="I10" s="11"/>
      <x:c r="J10" s="11"/>
      <x:c r="K10" s="11"/>
      <x:c r="L10" s="11"/>
      <x:c r="M10" s="11"/>
      <x:c r="N10" s="11"/>
      <x:c r="O10" s="11" t="str">
        <x:v>LAB-ASSET-009</x:v>
      </x:c>
      <x:c r="P10" s="11" t="str">
        <x:v>Medium</x:v>
      </x:c>
      <x:c r="Q10" s="11" t="str">
        <x:v>Internet</x:v>
      </x:c>
      <x:c r="R10" s="11" t="str">
        <x:v>Medium</x:v>
      </x:c>
      <x:c r="S10" s="11"/>
      <x:c r="T10" s="11"/>
      <x:c r="U10" s="11" t="str">
        <x:v>https://nvd.nist.gov/vuln/detail/CVE-2026-93952</x:v>
      </x:c>
      <x:c r="V10" s="11" t="str">
        <x:v>https://api.first.org/data/v1/epss?cve=CVE-2026-93952</x:v>
      </x:c>
      <x:c r="W10" s="11" t="str">
        <x:v>OFFICIAL_CVE_KEV_IDENTITY / CVSS_EPSS_PENDING_REFRESH</x:v>
      </x:c>
    </x:row>
    <x:row r="11">
      <x:c r="A11" s="11" t="str">
        <x:v>V2-FROZEN-50</x:v>
      </x:c>
      <x:c r="B11" s="11" t="str">
        <x:v>CVE-2026-94127</x:v>
      </x:c>
      <x:c r="C11" s="11" t="str">
        <x:v>F5</x:v>
      </x:c>
      <x:c r="D11" s="11" t="str">
        <x:v>BIG-IP APM</x:v>
      </x:c>
      <x:c r="E11" s="11" t="str">
        <x:v>F5 BIG-IP APM Heap-based Buffer Overflow Vulnerability</x:v>
      </x:c>
      <x:c r="F11" s="11" t="str">
        <x:v>CWE-122</x:v>
      </x:c>
      <x:c r="G11" s="11" t="str">
        <x:v>YES</x:v>
      </x:c>
      <x:c r="H11" s="11" t="str">
        <x:v>2026-09-22</x:v>
      </x:c>
      <x:c r="I11" s="11"/>
      <x:c r="J11" s="11"/>
      <x:c r="K11" s="11"/>
      <x:c r="L11" s="11"/>
      <x:c r="M11" s="11"/>
      <x:c r="N11" s="11"/>
      <x:c r="O11" s="11" t="str">
        <x:v>LAB-ASSET-010</x:v>
      </x:c>
      <x:c r="P11" s="11" t="str">
        <x:v>Medium</x:v>
      </x:c>
      <x:c r="Q11" s="11" t="str">
        <x:v>Internal</x:v>
      </x:c>
      <x:c r="R11" s="11" t="str">
        <x:v>Low</x:v>
      </x:c>
      <x:c r="S11" s="11"/>
      <x:c r="T11" s="11"/>
      <x:c r="U11" s="11" t="str">
        <x:v>https://nvd.nist.gov/vuln/detail/CVE-2026-94127</x:v>
      </x:c>
      <x:c r="V11" s="11" t="str">
        <x:v>https://api.first.org/data/v1/epss?cve=CVE-2026-94127</x:v>
      </x:c>
      <x:c r="W11" s="11" t="str">
        <x:v>OFFICIAL_CVE_KEV_IDENTITY / CVSS_EPSS_PENDING_REFRESH</x:v>
      </x:c>
    </x:row>
    <x:row r="12">
      <x:c r="A12" s="11" t="str">
        <x:v>V2-FROZEN-50</x:v>
      </x:c>
      <x:c r="B12" s="11" t="str">
        <x:v>CVE-2026-93616</x:v>
      </x:c>
      <x:c r="C12" s="11" t="str">
        <x:v>Check Point</x:v>
      </x:c>
      <x:c r="D12" s="11" t="str">
        <x:v>Multiple Products</x:v>
      </x:c>
      <x:c r="E12" s="11" t="str">
        <x:v>Check Point Multiple Products Path Traversal Vulnerability</x:v>
      </x:c>
      <x:c r="F12" s="11" t="str">
        <x:v>CWE-22</x:v>
      </x:c>
      <x:c r="G12" s="11" t="str">
        <x:v>YES</x:v>
      </x:c>
      <x:c r="H12" s="11" t="str">
        <x:v>2026-09-22</x:v>
      </x:c>
      <x:c r="I12" s="11"/>
      <x:c r="J12" s="11"/>
      <x:c r="K12" s="11"/>
      <x:c r="L12" s="11"/>
      <x:c r="M12" s="11"/>
      <x:c r="N12" s="11"/>
      <x:c r="O12" s="11" t="str">
        <x:v>LAB-ASSET-011</x:v>
      </x:c>
      <x:c r="P12" s="11" t="str">
        <x:v>Low</x:v>
      </x:c>
      <x:c r="Q12" s="11" t="str">
        <x:v>DMZ</x:v>
      </x:c>
      <x:c r="R12" s="11" t="str">
        <x:v>Medium</x:v>
      </x:c>
      <x:c r="S12" s="11"/>
      <x:c r="T12" s="11"/>
      <x:c r="U12" s="11" t="str">
        <x:v>https://nvd.nist.gov/vuln/detail/CVE-2026-93616</x:v>
      </x:c>
      <x:c r="V12" s="11" t="str">
        <x:v>https://api.first.org/data/v1/epss?cve=CVE-2026-93616</x:v>
      </x:c>
      <x:c r="W12" s="11" t="str">
        <x:v>OFFICIAL_CVE_KEV_IDENTITY / CVSS_EPSS_PENDING_REFRESH</x:v>
      </x:c>
    </x:row>
    <x:row r="13">
      <x:c r="A13" s="11" t="str">
        <x:v>V2-FROZEN-50</x:v>
      </x:c>
      <x:c r="B13" s="11" t="str">
        <x:v>CVE-2026-85102</x:v>
      </x:c>
      <x:c r="C13" s="11" t="str">
        <x:v>Check Point</x:v>
      </x:c>
      <x:c r="D13" s="11" t="str">
        <x:v>Multiple Products</x:v>
      </x:c>
      <x:c r="E13" s="11" t="str">
        <x:v>Check Point Multiple Products Improper Certificate Validation Vulnerability</x:v>
      </x:c>
      <x:c r="F13" s="11" t="str">
        <x:v>CWE-295</x:v>
      </x:c>
      <x:c r="G13" s="11" t="str">
        <x:v>YES</x:v>
      </x:c>
      <x:c r="H13" s="11" t="str">
        <x:v>2026-09-22</x:v>
      </x:c>
      <x:c r="I13" s="11"/>
      <x:c r="J13" s="11"/>
      <x:c r="K13" s="11"/>
      <x:c r="L13" s="11"/>
      <x:c r="M13" s="11"/>
      <x:c r="N13" s="11"/>
      <x:c r="O13" s="11" t="str">
        <x:v>LAB-ASSET-012</x:v>
      </x:c>
      <x:c r="P13" s="11" t="str">
        <x:v>Medium</x:v>
      </x:c>
      <x:c r="Q13" s="11" t="str">
        <x:v>DMZ</x:v>
      </x:c>
      <x:c r="R13" s="11" t="str">
        <x:v>Medium</x:v>
      </x:c>
      <x:c r="S13" s="11"/>
      <x:c r="T13" s="11"/>
      <x:c r="U13" s="11" t="str">
        <x:v>https://nvd.nist.gov/vuln/detail/CVE-2026-85102</x:v>
      </x:c>
      <x:c r="V13" s="11" t="str">
        <x:v>https://api.first.org/data/v1/epss?cve=CVE-2026-85102</x:v>
      </x:c>
      <x:c r="W13" s="11" t="str">
        <x:v>OFFICIAL_CVE_KEV_IDENTITY / CVSS_EPSS_PENDING_REFRESH</x:v>
      </x:c>
    </x:row>
    <x:row r="14">
      <x:c r="A14" s="11" t="str">
        <x:v>V2-FROZEN-50</x:v>
      </x:c>
      <x:c r="B14" s="11" t="str">
        <x:v>CVE-2026-7273</x:v>
      </x:c>
      <x:c r="C14" s="11" t="str">
        <x:v>Zyxel</x:v>
      </x:c>
      <x:c r="D14" s="11" t="str">
        <x:v>GS1900 Series Switches</x:v>
      </x:c>
      <x:c r="E14" s="11" t="str">
        <x:v>Zyxel GS1900 Series Switches Stack-Based Buffer Overflow Vulnerability</x:v>
      </x:c>
      <x:c r="F14" s="11" t="str">
        <x:v>CWE-121</x:v>
      </x:c>
      <x:c r="G14" s="11" t="str">
        <x:v>YES</x:v>
      </x:c>
      <x:c r="H14" s="11" t="str">
        <x:v>2026-09-21</x:v>
      </x:c>
      <x:c r="I14" s="11"/>
      <x:c r="J14" s="11"/>
      <x:c r="K14" s="11"/>
      <x:c r="L14" s="11"/>
      <x:c r="M14" s="11"/>
      <x:c r="N14" s="11"/>
      <x:c r="O14" s="11" t="str">
        <x:v>LAB-ASSET-013</x:v>
      </x:c>
      <x:c r="P14" s="11" t="str">
        <x:v>Critical</x:v>
      </x:c>
      <x:c r="Q14" s="11" t="str">
        <x:v>DMZ</x:v>
      </x:c>
      <x:c r="R14" s="11" t="str">
        <x:v>Critical</x:v>
      </x:c>
      <x:c r="S14" s="11"/>
      <x:c r="T14" s="11"/>
      <x:c r="U14" s="11" t="str">
        <x:v>https://nvd.nist.gov/vuln/detail/CVE-2026-7273</x:v>
      </x:c>
      <x:c r="V14" s="11" t="str">
        <x:v>https://api.first.org/data/v1/epss?cve=CVE-2026-7273</x:v>
      </x:c>
      <x:c r="W14" s="11" t="str">
        <x:v>OFFICIAL_CVE_KEV_IDENTITY / CVSS_EPSS_PENDING_REFRESH</x:v>
      </x:c>
    </x:row>
    <x:row r="15">
      <x:c r="A15" s="11" t="str">
        <x:v>V2-FROZEN-50</x:v>
      </x:c>
      <x:c r="B15" s="11" t="str">
        <x:v>CVE-2025-39964</x:v>
      </x:c>
      <x:c r="C15" s="11" t="str">
        <x:v>Linux</x:v>
      </x:c>
      <x:c r="D15" s="11" t="str">
        <x:v>Kernel</x:v>
      </x:c>
      <x:c r="E15" s="11" t="str">
        <x:v>Linux Kernel Race Condition Vulnerability</x:v>
      </x:c>
      <x:c r="F15" s="11" t="str">
        <x:v>CWE-362</x:v>
      </x:c>
      <x:c r="G15" s="11" t="str">
        <x:v>YES</x:v>
      </x:c>
      <x:c r="H15" s="11" t="str">
        <x:v>2026-09-18</x:v>
      </x:c>
      <x:c r="I15" s="11"/>
      <x:c r="J15" s="11"/>
      <x:c r="K15" s="11"/>
      <x:c r="L15" s="11"/>
      <x:c r="M15" s="11"/>
      <x:c r="N15" s="11"/>
      <x:c r="O15" s="11" t="str">
        <x:v>LAB-ASSET-014</x:v>
      </x:c>
      <x:c r="P15" s="11" t="str">
        <x:v>Medium</x:v>
      </x:c>
      <x:c r="Q15" s="11" t="str">
        <x:v>DMZ</x:v>
      </x:c>
      <x:c r="R15" s="11" t="str">
        <x:v>Low</x:v>
      </x:c>
      <x:c r="S15" s="11"/>
      <x:c r="T15" s="11"/>
      <x:c r="U15" s="11" t="str">
        <x:v>https://nvd.nist.gov/vuln/detail/CVE-2025-39964</x:v>
      </x:c>
      <x:c r="V15" s="11" t="str">
        <x:v>https://api.first.org/data/v1/epss?cve=CVE-2025-39964</x:v>
      </x:c>
      <x:c r="W15" s="11" t="str">
        <x:v>OFFICIAL_CVE_KEV_IDENTITY / CVSS_EPSS_PENDING_REFRESH</x:v>
      </x:c>
    </x:row>
    <x:row r="16">
      <x:c r="A16" s="11" t="str">
        <x:v>V2-FROZEN-50</x:v>
      </x:c>
      <x:c r="B16" s="11" t="str">
        <x:v>CVE-2026-53266</x:v>
      </x:c>
      <x:c r="C16" s="11" t="str">
        <x:v>Linux</x:v>
      </x:c>
      <x:c r="D16" s="11" t="str">
        <x:v>Kernel</x:v>
      </x:c>
      <x:c r="E16" s="11" t="str">
        <x:v>Linux Kernel Out-of-Bounds Write Vulnerability</x:v>
      </x:c>
      <x:c r="F16" s="11" t="str">
        <x:v>CWE-787</x:v>
      </x:c>
      <x:c r="G16" s="11" t="str">
        <x:v>YES</x:v>
      </x:c>
      <x:c r="H16" s="11" t="str">
        <x:v>2026-09-18</x:v>
      </x:c>
      <x:c r="I16" s="11"/>
      <x:c r="J16" s="11"/>
      <x:c r="K16" s="11"/>
      <x:c r="L16" s="11"/>
      <x:c r="M16" s="11"/>
      <x:c r="N16" s="11"/>
      <x:c r="O16" s="11" t="str">
        <x:v>LAB-ASSET-015</x:v>
      </x:c>
      <x:c r="P16" s="11" t="str">
        <x:v>High</x:v>
      </x:c>
      <x:c r="Q16" s="11" t="str">
        <x:v>Internal</x:v>
      </x:c>
      <x:c r="R16" s="11" t="str">
        <x:v>Low</x:v>
      </x:c>
      <x:c r="S16" s="11"/>
      <x:c r="T16" s="11"/>
      <x:c r="U16" s="11" t="str">
        <x:v>https://nvd.nist.gov/vuln/detail/CVE-2026-53266</x:v>
      </x:c>
      <x:c r="V16" s="11" t="str">
        <x:v>https://api.first.org/data/v1/epss?cve=CVE-2026-53266</x:v>
      </x:c>
      <x:c r="W16" s="11" t="str">
        <x:v>OFFICIAL_CVE_KEV_IDENTITY / CVSS_EPSS_PENDING_REFRESH</x:v>
      </x:c>
    </x:row>
    <x:row r="17">
      <x:c r="A17" s="11" t="str">
        <x:v>V2-FROZEN-50</x:v>
      </x:c>
      <x:c r="B17" s="11" t="str">
        <x:v>CVE-2025-39682</x:v>
      </x:c>
      <x:c r="C17" s="11" t="str">
        <x:v>Linux</x:v>
      </x:c>
      <x:c r="D17" s="11" t="str">
        <x:v>Kernel</x:v>
      </x:c>
      <x:c r="E17" s="11" t="str">
        <x:v>Linux Kernel Improper Check for Unusual or Exceptional Conditions Vulnerability</x:v>
      </x:c>
      <x:c r="F17" s="11" t="str">
        <x:v>CWE-754</x:v>
      </x:c>
      <x:c r="G17" s="11" t="str">
        <x:v>YES</x:v>
      </x:c>
      <x:c r="H17" s="11" t="str">
        <x:v>2026-09-18</x:v>
      </x:c>
      <x:c r="I17" s="11"/>
      <x:c r="J17" s="11"/>
      <x:c r="K17" s="11"/>
      <x:c r="L17" s="11"/>
      <x:c r="M17" s="11"/>
      <x:c r="N17" s="11"/>
      <x:c r="O17" s="11" t="str">
        <x:v>LAB-ASSET-016</x:v>
      </x:c>
      <x:c r="P17" s="11" t="str">
        <x:v>High</x:v>
      </x:c>
      <x:c r="Q17" s="11" t="str">
        <x:v>DMZ</x:v>
      </x:c>
      <x:c r="R17" s="11" t="str">
        <x:v>High</x:v>
      </x:c>
      <x:c r="S17" s="11"/>
      <x:c r="T17" s="11"/>
      <x:c r="U17" s="11" t="str">
        <x:v>https://nvd.nist.gov/vuln/detail/CVE-2025-39682</x:v>
      </x:c>
      <x:c r="V17" s="11" t="str">
        <x:v>https://api.first.org/data/v1/epss?cve=CVE-2025-39682</x:v>
      </x:c>
      <x:c r="W17" s="11" t="str">
        <x:v>OFFICIAL_CVE_KEV_IDENTITY / CVSS_EPSS_PENDING_REFRESH</x:v>
      </x:c>
    </x:row>
    <x:row r="18">
      <x:c r="A18" s="11" t="str">
        <x:v>V2-FROZEN-50</x:v>
      </x:c>
      <x:c r="B18" s="11" t="str">
        <x:v>CVE-2026-58704</x:v>
      </x:c>
      <x:c r="C18" s="11" t="str">
        <x:v>Google</x:v>
      </x:c>
      <x:c r="D18" s="11" t="str">
        <x:v>Pixel</x:v>
      </x:c>
      <x:c r="E18" s="11" t="str">
        <x:v>Google Pixel Improper Authorization Vulnerability</x:v>
      </x:c>
      <x:c r="F18" s="11" t="str">
        <x:v>CWE-693</x:v>
      </x:c>
      <x:c r="G18" s="11" t="str">
        <x:v>YES</x:v>
      </x:c>
      <x:c r="H18" s="11" t="str">
        <x:v>2026-09-16</x:v>
      </x:c>
      <x:c r="I18" s="11"/>
      <x:c r="J18" s="11"/>
      <x:c r="K18" s="11"/>
      <x:c r="L18" s="11"/>
      <x:c r="M18" s="11"/>
      <x:c r="N18" s="11"/>
      <x:c r="O18" s="11" t="str">
        <x:v>LAB-ASSET-017</x:v>
      </x:c>
      <x:c r="P18" s="11" t="str">
        <x:v>Medium</x:v>
      </x:c>
      <x:c r="Q18" s="11" t="str">
        <x:v>DMZ</x:v>
      </x:c>
      <x:c r="R18" s="11" t="str">
        <x:v>Low</x:v>
      </x:c>
      <x:c r="S18" s="11"/>
      <x:c r="T18" s="11"/>
      <x:c r="U18" s="11" t="str">
        <x:v>https://nvd.nist.gov/vuln/detail/CVE-2026-58704</x:v>
      </x:c>
      <x:c r="V18" s="11" t="str">
        <x:v>https://api.first.org/data/v1/epss?cve=CVE-2026-58704</x:v>
      </x:c>
      <x:c r="W18" s="11" t="str">
        <x:v>OFFICIAL_CVE_KEV_IDENTITY / CVSS_EPSS_PENDING_REFRESH</x:v>
      </x:c>
    </x:row>
    <x:row r="19">
      <x:c r="A19" s="11" t="str">
        <x:v>V2-FROZEN-50</x:v>
      </x:c>
      <x:c r="B19" s="11" t="str">
        <x:v>CVE-2026-76460</x:v>
      </x:c>
      <x:c r="C19" s="11" t="str">
        <x:v>Cisco</x:v>
      </x:c>
      <x:c r="D19" s="11" t="str">
        <x:v>Identity Services Engine</x:v>
      </x:c>
      <x:c r="E19" s="11" t="str">
        <x:v>Cisco Identity Services Engine Incorrect Use of Privileged APIs Vulnerability</x:v>
      </x:c>
      <x:c r="F19" s="11" t="str">
        <x:v>CWE-648</x:v>
      </x:c>
      <x:c r="G19" s="11" t="str">
        <x:v>YES</x:v>
      </x:c>
      <x:c r="H19" s="11" t="str">
        <x:v>2026-09-16</x:v>
      </x:c>
      <x:c r="I19" s="11"/>
      <x:c r="J19" s="11"/>
      <x:c r="K19" s="11"/>
      <x:c r="L19" s="11"/>
      <x:c r="M19" s="11"/>
      <x:c r="N19" s="11"/>
      <x:c r="O19" s="11" t="str">
        <x:v>LAB-ASSET-018</x:v>
      </x:c>
      <x:c r="P19" s="11" t="str">
        <x:v>Medium</x:v>
      </x:c>
      <x:c r="Q19" s="11" t="str">
        <x:v>Internet</x:v>
      </x:c>
      <x:c r="R19" s="11" t="str">
        <x:v>Medium</x:v>
      </x:c>
      <x:c r="S19" s="11"/>
      <x:c r="T19" s="11"/>
      <x:c r="U19" s="11" t="str">
        <x:v>https://nvd.nist.gov/vuln/detail/CVE-2026-76460</x:v>
      </x:c>
      <x:c r="V19" s="11" t="str">
        <x:v>https://api.first.org/data/v1/epss?cve=CVE-2026-76460</x:v>
      </x:c>
      <x:c r="W19" s="11" t="str">
        <x:v>OFFICIAL_CVE_KEV_IDENTITY / CVSS_EPSS_PENDING_REFRESH</x:v>
      </x:c>
    </x:row>
    <x:row r="20">
      <x:c r="A20" s="11" t="str">
        <x:v>V2-FROZEN-50</x:v>
      </x:c>
      <x:c r="B20" s="11" t="str">
        <x:v>CVE-2026-87886</x:v>
      </x:c>
      <x:c r="C20" s="11" t="str">
        <x:v>Acronis</x:v>
      </x:c>
      <x:c r="D20" s="11" t="str">
        <x:v>Backup</x:v>
      </x:c>
      <x:c r="E20" s="11" t="str">
        <x:v>Acronis Backup Incorrect Default Permissions Vulnerability</x:v>
      </x:c>
      <x:c r="F20" s="11" t="str">
        <x:v>CWE-276</x:v>
      </x:c>
      <x:c r="G20" s="11" t="str">
        <x:v>YES</x:v>
      </x:c>
      <x:c r="H20" s="11" t="str">
        <x:v>2026-09-16</x:v>
      </x:c>
      <x:c r="I20" s="11"/>
      <x:c r="J20" s="11"/>
      <x:c r="K20" s="11"/>
      <x:c r="L20" s="11"/>
      <x:c r="M20" s="11"/>
      <x:c r="N20" s="11"/>
      <x:c r="O20" s="11" t="str">
        <x:v>LAB-ASSET-019</x:v>
      </x:c>
      <x:c r="P20" s="11" t="str">
        <x:v>High</x:v>
      </x:c>
      <x:c r="Q20" s="11" t="str">
        <x:v>DMZ</x:v>
      </x:c>
      <x:c r="R20" s="11" t="str">
        <x:v>Medium</x:v>
      </x:c>
      <x:c r="S20" s="11"/>
      <x:c r="T20" s="11"/>
      <x:c r="U20" s="11" t="str">
        <x:v>https://nvd.nist.gov/vuln/detail/CVE-2026-87886</x:v>
      </x:c>
      <x:c r="V20" s="11" t="str">
        <x:v>https://api.first.org/data/v1/epss?cve=CVE-2026-87886</x:v>
      </x:c>
      <x:c r="W20" s="11" t="str">
        <x:v>OFFICIAL_CVE_KEV_IDENTITY / CVSS_EPSS_PENDING_REFRESH</x:v>
      </x:c>
    </x:row>
    <x:row r="21">
      <x:c r="A21" s="11" t="str">
        <x:v>V2-FROZEN-50</x:v>
      </x:c>
      <x:c r="B21" s="11" t="str">
        <x:v>CVE-2026-76461</x:v>
      </x:c>
      <x:c r="C21" s="11" t="str">
        <x:v>Cisco</x:v>
      </x:c>
      <x:c r="D21" s="11" t="str">
        <x:v>Secure Email Gateway</x:v>
      </x:c>
      <x:c r="E21" s="11" t="str">
        <x:v>Cisco Secure Email Gateway SQL Injection Vulnerability</x:v>
      </x:c>
      <x:c r="F21" s="11" t="str">
        <x:v>CWE-89</x:v>
      </x:c>
      <x:c r="G21" s="11" t="str">
        <x:v>YES</x:v>
      </x:c>
      <x:c r="H21" s="11" t="str">
        <x:v>2026-09-14</x:v>
      </x:c>
      <x:c r="I21" s="11"/>
      <x:c r="J21" s="11"/>
      <x:c r="K21" s="11"/>
      <x:c r="L21" s="11"/>
      <x:c r="M21" s="11"/>
      <x:c r="N21" s="11"/>
      <x:c r="O21" s="11" t="str">
        <x:v>LAB-ASSET-020</x:v>
      </x:c>
      <x:c r="P21" s="11" t="str">
        <x:v>Low</x:v>
      </x:c>
      <x:c r="Q21" s="11" t="str">
        <x:v>Internal</x:v>
      </x:c>
      <x:c r="R21" s="11" t="str">
        <x:v>Critical</x:v>
      </x:c>
      <x:c r="S21" s="11"/>
      <x:c r="T21" s="11"/>
      <x:c r="U21" s="11" t="str">
        <x:v>https://nvd.nist.gov/vuln/detail/CVE-2026-76461</x:v>
      </x:c>
      <x:c r="V21" s="11" t="str">
        <x:v>https://api.first.org/data/v1/epss?cve=CVE-2026-76461</x:v>
      </x:c>
      <x:c r="W21" s="11" t="str">
        <x:v>OFFICIAL_CVE_KEV_IDENTITY / CVSS_EPSS_PENDING_REFRESH</x:v>
      </x:c>
    </x:row>
    <x:row r="22">
      <x:c r="A22" s="11" t="str">
        <x:v>V2-FROZEN-50</x:v>
      </x:c>
      <x:c r="B22" s="11" t="str">
        <x:v>CVE-2026-84869</x:v>
      </x:c>
      <x:c r="C22" s="11" t="str">
        <x:v>ConnectWise</x:v>
      </x:c>
      <x:c r="D22" s="11" t="str">
        <x:v>ScreenConnect</x:v>
      </x:c>
      <x:c r="E22" s="11" t="str">
        <x:v>ConnectWise ScreenConnect Improper Privilege Management and Missing Authorization Vulnerability</x:v>
      </x:c>
      <x:c r="F22" s="11" t="str">
        <x:v>CWE-269, CWE-862</x:v>
      </x:c>
      <x:c r="G22" s="11" t="str">
        <x:v>YES</x:v>
      </x:c>
      <x:c r="H22" s="11" t="str">
        <x:v>2026-09-11</x:v>
      </x:c>
      <x:c r="I22" s="11"/>
      <x:c r="J22" s="11"/>
      <x:c r="K22" s="11"/>
      <x:c r="L22" s="11"/>
      <x:c r="M22" s="11"/>
      <x:c r="N22" s="11"/>
      <x:c r="O22" s="11" t="str">
        <x:v>LAB-ASSET-021</x:v>
      </x:c>
      <x:c r="P22" s="11" t="str">
        <x:v>Medium</x:v>
      </x:c>
      <x:c r="Q22" s="11" t="str">
        <x:v>DMZ</x:v>
      </x:c>
      <x:c r="R22" s="11" t="str">
        <x:v>Medium</x:v>
      </x:c>
      <x:c r="S22" s="11"/>
      <x:c r="T22" s="11"/>
      <x:c r="U22" s="11" t="str">
        <x:v>https://nvd.nist.gov/vuln/detail/CVE-2026-84869</x:v>
      </x:c>
      <x:c r="V22" s="11" t="str">
        <x:v>https://api.first.org/data/v1/epss?cve=CVE-2026-84869</x:v>
      </x:c>
      <x:c r="W22" s="11" t="str">
        <x:v>OFFICIAL_CVE_KEV_IDENTITY / CVSS_EPSS_PENDING_REFRESH</x:v>
      </x:c>
    </x:row>
    <x:row r="23">
      <x:c r="A23" s="11" t="str">
        <x:v>V2-FROZEN-50</x:v>
      </x:c>
      <x:c r="B23" s="11" t="str">
        <x:v>CVE-2026-42016</x:v>
      </x:c>
      <x:c r="C23" s="11" t="str">
        <x:v>JFrog</x:v>
      </x:c>
      <x:c r="D23" s="11" t="str">
        <x:v>Artifactory</x:v>
      </x:c>
      <x:c r="E23" s="11" t="str">
        <x:v>JFrog Artifactory Incorrect Authorization Vulnerability</x:v>
      </x:c>
      <x:c r="F23" s="11" t="str">
        <x:v>CWE-863</x:v>
      </x:c>
      <x:c r="G23" s="11" t="str">
        <x:v>YES</x:v>
      </x:c>
      <x:c r="H23" s="11" t="str">
        <x:v>2026-09-11</x:v>
      </x:c>
      <x:c r="I23" s="11"/>
      <x:c r="J23" s="11"/>
      <x:c r="K23" s="11"/>
      <x:c r="L23" s="11"/>
      <x:c r="M23" s="11"/>
      <x:c r="N23" s="11"/>
      <x:c r="O23" s="11" t="str">
        <x:v>LAB-ASSET-022</x:v>
      </x:c>
      <x:c r="P23" s="11" t="str">
        <x:v>Medium</x:v>
      </x:c>
      <x:c r="Q23" s="11" t="str">
        <x:v>Internal</x:v>
      </x:c>
      <x:c r="R23" s="11" t="str">
        <x:v>High</x:v>
      </x:c>
      <x:c r="S23" s="11"/>
      <x:c r="T23" s="11"/>
      <x:c r="U23" s="11" t="str">
        <x:v>https://nvd.nist.gov/vuln/detail/CVE-2026-42016</x:v>
      </x:c>
      <x:c r="V23" s="11" t="str">
        <x:v>https://api.first.org/data/v1/epss?cve=CVE-2026-42016</x:v>
      </x:c>
      <x:c r="W23" s="11" t="str">
        <x:v>OFFICIAL_CVE_KEV_IDENTITY / CVSS_EPSS_PENDING_REFRESH</x:v>
      </x:c>
    </x:row>
    <x:row r="24">
      <x:c r="A24" s="11" t="str">
        <x:v>V2-FROZEN-50</x:v>
      </x:c>
      <x:c r="B24" s="11" t="str">
        <x:v>CVE-2026-42018</x:v>
      </x:c>
      <x:c r="C24" s="11" t="str">
        <x:v>JFrog</x:v>
      </x:c>
      <x:c r="D24" s="11" t="str">
        <x:v>Artifactory</x:v>
      </x:c>
      <x:c r="E24" s="11" t="str">
        <x:v>JFrog Artifactory Improper Authentication Vulnerability</x:v>
      </x:c>
      <x:c r="F24" s="11" t="str">
        <x:v>CWE-287</x:v>
      </x:c>
      <x:c r="G24" s="11" t="str">
        <x:v>YES</x:v>
      </x:c>
      <x:c r="H24" s="11" t="str">
        <x:v>2026-09-11</x:v>
      </x:c>
      <x:c r="I24" s="11"/>
      <x:c r="J24" s="11"/>
      <x:c r="K24" s="11"/>
      <x:c r="L24" s="11"/>
      <x:c r="M24" s="11"/>
      <x:c r="N24" s="11"/>
      <x:c r="O24" s="11" t="str">
        <x:v>LAB-ASSET-023</x:v>
      </x:c>
      <x:c r="P24" s="11" t="str">
        <x:v>Critical</x:v>
      </x:c>
      <x:c r="Q24" s="11" t="str">
        <x:v>Internal</x:v>
      </x:c>
      <x:c r="R24" s="11" t="str">
        <x:v>High</x:v>
      </x:c>
      <x:c r="S24" s="11"/>
      <x:c r="T24" s="11"/>
      <x:c r="U24" s="11" t="str">
        <x:v>https://nvd.nist.gov/vuln/detail/CVE-2026-42018</x:v>
      </x:c>
      <x:c r="V24" s="11" t="str">
        <x:v>https://api.first.org/data/v1/epss?cve=CVE-2026-42018</x:v>
      </x:c>
      <x:c r="W24" s="11" t="str">
        <x:v>OFFICIAL_CVE_KEV_IDENTITY / CVSS_EPSS_PENDING_REFRESH</x:v>
      </x:c>
    </x:row>
    <x:row r="25">
      <x:c r="A25" s="11" t="str">
        <x:v>V2-FROZEN-50</x:v>
      </x:c>
      <x:c r="B25" s="11" t="str">
        <x:v>CVE-2026-85706</x:v>
      </x:c>
      <x:c r="C25" s="11" t="str">
        <x:v>GitLab</x:v>
      </x:c>
      <x:c r="D25" s="11" t="str">
        <x:v>Community Edition and Enterprise Edition</x:v>
      </x:c>
      <x:c r="E25" s="11" t="str">
        <x:v>GitLab Community Edition and Enterprise Edition Path Traversal Vulnerability</x:v>
      </x:c>
      <x:c r="F25" s="11" t="str">
        <x:v>CWE-35</x:v>
      </x:c>
      <x:c r="G25" s="11" t="str">
        <x:v>YES</x:v>
      </x:c>
      <x:c r="H25" s="11" t="str">
        <x:v>2026-09-11</x:v>
      </x:c>
      <x:c r="I25" s="11"/>
      <x:c r="J25" s="11"/>
      <x:c r="K25" s="11"/>
      <x:c r="L25" s="11"/>
      <x:c r="M25" s="11"/>
      <x:c r="N25" s="11"/>
      <x:c r="O25" s="11" t="str">
        <x:v>LAB-ASSET-024</x:v>
      </x:c>
      <x:c r="P25" s="11" t="str">
        <x:v>High</x:v>
      </x:c>
      <x:c r="Q25" s="11" t="str">
        <x:v>Internet</x:v>
      </x:c>
      <x:c r="R25" s="11" t="str">
        <x:v>Low</x:v>
      </x:c>
      <x:c r="S25" s="11"/>
      <x:c r="T25" s="11"/>
      <x:c r="U25" s="11" t="str">
        <x:v>https://nvd.nist.gov/vuln/detail/CVE-2026-85706</x:v>
      </x:c>
      <x:c r="V25" s="11" t="str">
        <x:v>https://api.first.org/data/v1/epss?cve=CVE-2026-85706</x:v>
      </x:c>
      <x:c r="W25" s="11" t="str">
        <x:v>OFFICIAL_CVE_KEV_IDENTITY / CVSS_EPSS_PENDING_REFRESH</x:v>
      </x:c>
    </x:row>
    <x:row r="26">
      <x:c r="A26" s="11" t="str">
        <x:v>V2-FROZEN-50</x:v>
      </x:c>
      <x:c r="B26" s="11" t="str">
        <x:v>CVE-2026-86060</x:v>
      </x:c>
      <x:c r="C26" s="11" t="str">
        <x:v>MikroTik</x:v>
      </x:c>
      <x:c r="D26" s="11" t="str">
        <x:v>RouterOS</x:v>
      </x:c>
      <x:c r="E26" s="11" t="str">
        <x:v>MikroTik RouterOS Improper Neutralization of Argument Delimiters in a Command Vulnerability</x:v>
      </x:c>
      <x:c r="F26" s="11" t="str">
        <x:v>CWE-88</x:v>
      </x:c>
      <x:c r="G26" s="11" t="str">
        <x:v>YES</x:v>
      </x:c>
      <x:c r="H26" s="11" t="str">
        <x:v>2026-09-10</x:v>
      </x:c>
      <x:c r="I26" s="11"/>
      <x:c r="J26" s="11"/>
      <x:c r="K26" s="11"/>
      <x:c r="L26" s="11"/>
      <x:c r="M26" s="11"/>
      <x:c r="N26" s="11"/>
      <x:c r="O26" s="11" t="str">
        <x:v>LAB-ASSET-025</x:v>
      </x:c>
      <x:c r="P26" s="11" t="str">
        <x:v>Critical</x:v>
      </x:c>
      <x:c r="Q26" s="11" t="str">
        <x:v>Internet</x:v>
      </x:c>
      <x:c r="R26" s="11" t="str">
        <x:v>Critical</x:v>
      </x:c>
      <x:c r="S26" s="11"/>
      <x:c r="T26" s="11"/>
      <x:c r="U26" s="11" t="str">
        <x:v>https://nvd.nist.gov/vuln/detail/CVE-2026-86060</x:v>
      </x:c>
      <x:c r="V26" s="11" t="str">
        <x:v>https://api.first.org/data/v1/epss?cve=CVE-2026-86060</x:v>
      </x:c>
      <x:c r="W26" s="11" t="str">
        <x:v>OFFICIAL_CVE_KEV_IDENTITY / CVSS_EPSS_PENDING_REFRESH</x:v>
      </x:c>
    </x:row>
    <x:row r="27">
      <x:c r="A27" s="11" t="str">
        <x:v>V2-FROZEN-50</x:v>
      </x:c>
      <x:c r="B27" s="11" t="str">
        <x:v>CVE-2026-67277</x:v>
      </x:c>
      <x:c r="C27" s="11" t="str">
        <x:v>MikroTik</x:v>
      </x:c>
      <x:c r="D27" s="11" t="str">
        <x:v>RouterOS</x:v>
      </x:c>
      <x:c r="E27" s="11" t="str">
        <x:v>MikroTik RouterOS Missing Authentication for Critical Function Vulnerability</x:v>
      </x:c>
      <x:c r="F27" s="11" t="str">
        <x:v>CWE-306</x:v>
      </x:c>
      <x:c r="G27" s="11" t="str">
        <x:v>YES</x:v>
      </x:c>
      <x:c r="H27" s="11" t="str">
        <x:v>2026-09-10</x:v>
      </x:c>
      <x:c r="I27" s="11"/>
      <x:c r="J27" s="11"/>
      <x:c r="K27" s="11"/>
      <x:c r="L27" s="11"/>
      <x:c r="M27" s="11"/>
      <x:c r="N27" s="11"/>
      <x:c r="O27" s="11" t="str">
        <x:v>LAB-ASSET-026</x:v>
      </x:c>
      <x:c r="P27" s="11" t="str">
        <x:v>Low</x:v>
      </x:c>
      <x:c r="Q27" s="11" t="str">
        <x:v>Internal</x:v>
      </x:c>
      <x:c r="R27" s="11" t="str">
        <x:v>Low</x:v>
      </x:c>
      <x:c r="S27" s="11"/>
      <x:c r="T27" s="11"/>
      <x:c r="U27" s="11" t="str">
        <x:v>https://nvd.nist.gov/vuln/detail/CVE-2026-67277</x:v>
      </x:c>
      <x:c r="V27" s="11" t="str">
        <x:v>https://api.first.org/data/v1/epss?cve=CVE-2026-67277</x:v>
      </x:c>
      <x:c r="W27" s="11" t="str">
        <x:v>OFFICIAL_CVE_KEV_IDENTITY / CVSS_EPSS_PENDING_REFRESH</x:v>
      </x:c>
    </x:row>
    <x:row r="28">
      <x:c r="A28" s="11" t="str">
        <x:v>V2-FROZEN-50</x:v>
      </x:c>
      <x:c r="B28" s="11" t="str">
        <x:v>CVE-2026-19490</x:v>
      </x:c>
      <x:c r="C28" s="11" t="str">
        <x:v>Citrix</x:v>
      </x:c>
      <x:c r="D28" s="11" t="str">
        <x:v>NetScaler</x:v>
      </x:c>
      <x:c r="E28" s="11" t="str">
        <x:v>Citrix NetScaler Authentication Bypass Using an Alternate Path or Channel Vulnerability</x:v>
      </x:c>
      <x:c r="F28" s="11" t="str">
        <x:v>CWE-288</x:v>
      </x:c>
      <x:c r="G28" s="11" t="str">
        <x:v>YES</x:v>
      </x:c>
      <x:c r="H28" s="11" t="str">
        <x:v>2026-09-09</x:v>
      </x:c>
      <x:c r="I28" s="11"/>
      <x:c r="J28" s="11"/>
      <x:c r="K28" s="11"/>
      <x:c r="L28" s="11"/>
      <x:c r="M28" s="11"/>
      <x:c r="N28" s="11"/>
      <x:c r="O28" s="11" t="str">
        <x:v>LAB-ASSET-027</x:v>
      </x:c>
      <x:c r="P28" s="11" t="str">
        <x:v>High</x:v>
      </x:c>
      <x:c r="Q28" s="11" t="str">
        <x:v>Internet</x:v>
      </x:c>
      <x:c r="R28" s="11" t="str">
        <x:v>Low</x:v>
      </x:c>
      <x:c r="S28" s="11"/>
      <x:c r="T28" s="11"/>
      <x:c r="U28" s="11" t="str">
        <x:v>https://nvd.nist.gov/vuln/detail/CVE-2026-19490</x:v>
      </x:c>
      <x:c r="V28" s="11" t="str">
        <x:v>https://api.first.org/data/v1/epss?cve=CVE-2026-19490</x:v>
      </x:c>
      <x:c r="W28" s="11" t="str">
        <x:v>OFFICIAL_CVE_KEV_IDENTITY / CVSS_EPSS_PENDING_REFRESH</x:v>
      </x:c>
    </x:row>
    <x:row r="29">
      <x:c r="A29" s="11" t="str">
        <x:v>V2-FROZEN-50</x:v>
      </x:c>
      <x:c r="B29" s="11" t="str">
        <x:v>CVE-2025-25249</x:v>
      </x:c>
      <x:c r="C29" s="11" t="str">
        <x:v>Fortinet</x:v>
      </x:c>
      <x:c r="D29" s="11" t="str">
        <x:v>Multiple Products</x:v>
      </x:c>
      <x:c r="E29" s="11" t="str">
        <x:v>Fortinet Multiple Products Heap-based Buffer Overflow Vulnerability</x:v>
      </x:c>
      <x:c r="F29" s="11" t="str">
        <x:v>CWE-122, CWE-787</x:v>
      </x:c>
      <x:c r="G29" s="11" t="str">
        <x:v>YES</x:v>
      </x:c>
      <x:c r="H29" s="11" t="str">
        <x:v>2026-09-09</x:v>
      </x:c>
      <x:c r="I29" s="11"/>
      <x:c r="J29" s="11"/>
      <x:c r="K29" s="11"/>
      <x:c r="L29" s="11"/>
      <x:c r="M29" s="11"/>
      <x:c r="N29" s="11"/>
      <x:c r="O29" s="11" t="str">
        <x:v>LAB-ASSET-028</x:v>
      </x:c>
      <x:c r="P29" s="11" t="str">
        <x:v>Medium</x:v>
      </x:c>
      <x:c r="Q29" s="11" t="str">
        <x:v>Internet</x:v>
      </x:c>
      <x:c r="R29" s="11" t="str">
        <x:v>Low</x:v>
      </x:c>
      <x:c r="S29" s="11"/>
      <x:c r="T29" s="11"/>
      <x:c r="U29" s="11" t="str">
        <x:v>https://nvd.nist.gov/vuln/detail/CVE-2025-25249</x:v>
      </x:c>
      <x:c r="V29" s="11" t="str">
        <x:v>https://api.first.org/data/v1/epss?cve=CVE-2025-25249</x:v>
      </x:c>
      <x:c r="W29" s="11" t="str">
        <x:v>OFFICIAL_CVE_KEV_IDENTITY / CVSS_EPSS_PENDING_REFRESH</x:v>
      </x:c>
    </x:row>
    <x:row r="30">
      <x:c r="A30" s="11" t="str">
        <x:v>V2-FROZEN-50</x:v>
      </x:c>
      <x:c r="B30" s="11" t="str">
        <x:v>CVE-2026-87491</x:v>
      </x:c>
      <x:c r="C30" s="11" t="str">
        <x:v>Google</x:v>
      </x:c>
      <x:c r="D30" s="11" t="str">
        <x:v>Chromium V8</x:v>
      </x:c>
      <x:c r="E30" s="11" t="str">
        <x:v>Google Chromium V8 Out of Bounds Write Vulnerability</x:v>
      </x:c>
      <x:c r="F30" s="11" t="str">
        <x:v>CWE-787</x:v>
      </x:c>
      <x:c r="G30" s="11" t="str">
        <x:v>YES</x:v>
      </x:c>
      <x:c r="H30" s="11" t="str">
        <x:v>2026-09-09</x:v>
      </x:c>
      <x:c r="I30" s="11"/>
      <x:c r="J30" s="11"/>
      <x:c r="K30" s="11"/>
      <x:c r="L30" s="11"/>
      <x:c r="M30" s="11"/>
      <x:c r="N30" s="11"/>
      <x:c r="O30" s="11" t="str">
        <x:v>LAB-ASSET-029</x:v>
      </x:c>
      <x:c r="P30" s="11" t="str">
        <x:v>Medium</x:v>
      </x:c>
      <x:c r="Q30" s="11" t="str">
        <x:v>Internet</x:v>
      </x:c>
      <x:c r="R30" s="11" t="str">
        <x:v>Critical</x:v>
      </x:c>
      <x:c r="S30" s="11"/>
      <x:c r="T30" s="11"/>
      <x:c r="U30" s="11" t="str">
        <x:v>https://nvd.nist.gov/vuln/detail/CVE-2026-87491</x:v>
      </x:c>
      <x:c r="V30" s="11" t="str">
        <x:v>https://api.first.org/data/v1/epss?cve=CVE-2026-87491</x:v>
      </x:c>
      <x:c r="W30" s="11" t="str">
        <x:v>OFFICIAL_CVE_KEV_IDENTITY / CVSS_EPSS_PENDING_REFRESH</x:v>
      </x:c>
    </x:row>
    <x:row r="31">
      <x:c r="A31" s="11" t="str">
        <x:v>V2-FROZEN-50</x:v>
      </x:c>
      <x:c r="B31" s="11" t="str">
        <x:v>CVE-2026-20079</x:v>
      </x:c>
      <x:c r="C31" s="11" t="str">
        <x:v>Cisco</x:v>
      </x:c>
      <x:c r="D31" s="11" t="str">
        <x:v>Secure Firewall Management Center (FMC) and Security Cloud Control (SCC) Firewall Management</x:v>
      </x:c>
      <x:c r="E31" s="11" t="str">
        <x:v>Cisco Firewall Management Center Authentication Bypass Using an Alternate Path or Channel Vulnerability</x:v>
      </x:c>
      <x:c r="F31" s="11" t="str">
        <x:v>CWE-288</x:v>
      </x:c>
      <x:c r="G31" s="11" t="str">
        <x:v>YES</x:v>
      </x:c>
      <x:c r="H31" s="11" t="str">
        <x:v>2026-09-09</x:v>
      </x:c>
      <x:c r="I31" s="11"/>
      <x:c r="J31" s="11"/>
      <x:c r="K31" s="11"/>
      <x:c r="L31" s="11"/>
      <x:c r="M31" s="11"/>
      <x:c r="N31" s="11"/>
      <x:c r="O31" s="11" t="str">
        <x:v>LAB-ASSET-030</x:v>
      </x:c>
      <x:c r="P31" s="11" t="str">
        <x:v>Medium</x:v>
      </x:c>
      <x:c r="Q31" s="11" t="str">
        <x:v>DMZ</x:v>
      </x:c>
      <x:c r="R31" s="11" t="str">
        <x:v>High</x:v>
      </x:c>
      <x:c r="S31" s="11"/>
      <x:c r="T31" s="11"/>
      <x:c r="U31" s="11" t="str">
        <x:v>https://nvd.nist.gov/vuln/detail/CVE-2026-20079</x:v>
      </x:c>
      <x:c r="V31" s="11" t="str">
        <x:v>https://api.first.org/data/v1/epss?cve=CVE-2026-20079</x:v>
      </x:c>
      <x:c r="W31" s="11" t="str">
        <x:v>OFFICIAL_CVE_KEV_IDENTITY / CVSS_EPSS_PENDING_REFRESH</x:v>
      </x:c>
    </x:row>
    <x:row r="32">
      <x:c r="A32" s="11" t="str">
        <x:v>V2-FROZEN-50</x:v>
      </x:c>
      <x:c r="B32" s="11" t="str">
        <x:v>CVE-2026-75650</x:v>
      </x:c>
      <x:c r="C32" s="11" t="str">
        <x:v>Adobe</x:v>
      </x:c>
      <x:c r="D32" s="11" t="str">
        <x:v>Commerce and Magento</x:v>
      </x:c>
      <x:c r="E32" s="11" t="str">
        <x:v>Adobe Commerce and Magento Improper Neutralization of Special Elements Used in a Template Engine Vulnerability</x:v>
      </x:c>
      <x:c r="F32" s="11" t="str">
        <x:v>CWE-1336</x:v>
      </x:c>
      <x:c r="G32" s="11" t="str">
        <x:v>YES</x:v>
      </x:c>
      <x:c r="H32" s="11" t="str">
        <x:v>2026-09-08</x:v>
      </x:c>
      <x:c r="I32" s="11"/>
      <x:c r="J32" s="11"/>
      <x:c r="K32" s="11"/>
      <x:c r="L32" s="11"/>
      <x:c r="M32" s="11"/>
      <x:c r="N32" s="11"/>
      <x:c r="O32" s="11" t="str">
        <x:v>LAB-ASSET-031</x:v>
      </x:c>
      <x:c r="P32" s="11" t="str">
        <x:v>High</x:v>
      </x:c>
      <x:c r="Q32" s="11" t="str">
        <x:v>Internal</x:v>
      </x:c>
      <x:c r="R32" s="11" t="str">
        <x:v>High</x:v>
      </x:c>
      <x:c r="S32" s="11"/>
      <x:c r="T32" s="11"/>
      <x:c r="U32" s="11" t="str">
        <x:v>https://nvd.nist.gov/vuln/detail/CVE-2026-75650</x:v>
      </x:c>
      <x:c r="V32" s="11" t="str">
        <x:v>https://api.first.org/data/v1/epss?cve=CVE-2026-75650</x:v>
      </x:c>
      <x:c r="W32" s="11" t="str">
        <x:v>OFFICIAL_CVE_KEV_IDENTITY / CVSS_EPSS_PENDING_REFRESH</x:v>
      </x:c>
    </x:row>
    <x:row r="33">
      <x:c r="A33" s="11" t="str">
        <x:v>V2-FROZEN-50</x:v>
      </x:c>
      <x:c r="B33" s="11" t="str">
        <x:v>CVE-2026-81963</x:v>
      </x:c>
      <x:c r="C33" s="11" t="str">
        <x:v>Microsoft</x:v>
      </x:c>
      <x:c r="D33" s="11" t="str">
        <x:v>Windows</x:v>
      </x:c>
      <x:c r="E33" s="11" t="str">
        <x:v>Microsoft Windows Link Following Vulnerability</x:v>
      </x:c>
      <x:c r="F33" s="11" t="str">
        <x:v>CWE-59, CWE-284</x:v>
      </x:c>
      <x:c r="G33" s="11" t="str">
        <x:v>YES</x:v>
      </x:c>
      <x:c r="H33" s="11" t="str">
        <x:v>2026-09-08</x:v>
      </x:c>
      <x:c r="I33" s="11"/>
      <x:c r="J33" s="11"/>
      <x:c r="K33" s="11"/>
      <x:c r="L33" s="11"/>
      <x:c r="M33" s="11"/>
      <x:c r="N33" s="11"/>
      <x:c r="O33" s="11" t="str">
        <x:v>LAB-ASSET-032</x:v>
      </x:c>
      <x:c r="P33" s="11" t="str">
        <x:v>Medium</x:v>
      </x:c>
      <x:c r="Q33" s="11" t="str">
        <x:v>Internet</x:v>
      </x:c>
      <x:c r="R33" s="11" t="str">
        <x:v>Critical</x:v>
      </x:c>
      <x:c r="S33" s="11"/>
      <x:c r="T33" s="11"/>
      <x:c r="U33" s="11" t="str">
        <x:v>https://nvd.nist.gov/vuln/detail/CVE-2026-81963</x:v>
      </x:c>
      <x:c r="V33" s="11" t="str">
        <x:v>https://api.first.org/data/v1/epss?cve=CVE-2026-81963</x:v>
      </x:c>
      <x:c r="W33" s="11" t="str">
        <x:v>OFFICIAL_CVE_KEV_IDENTITY / CVSS_EPSS_PENDING_REFRESH</x:v>
      </x:c>
    </x:row>
    <x:row r="34">
      <x:c r="A34" s="11" t="str">
        <x:v>V2-FROZEN-50</x:v>
      </x:c>
      <x:c r="B34" s="11" t="str">
        <x:v>CVE-2026-86218</x:v>
      </x:c>
      <x:c r="C34" s="11" t="str">
        <x:v>N-able</x:v>
      </x:c>
      <x:c r="D34" s="11" t="str">
        <x:v>N-central</x:v>
      </x:c>
      <x:c r="E34" s="11" t="str">
        <x:v>N-able N-central Static Code Injection Vulnerability</x:v>
      </x:c>
      <x:c r="F34" s="11" t="str">
        <x:v>CWE-96</x:v>
      </x:c>
      <x:c r="G34" s="11" t="str">
        <x:v>YES</x:v>
      </x:c>
      <x:c r="H34" s="11" t="str">
        <x:v>2026-09-08</x:v>
      </x:c>
      <x:c r="I34" s="11"/>
      <x:c r="J34" s="11"/>
      <x:c r="K34" s="11"/>
      <x:c r="L34" s="11"/>
      <x:c r="M34" s="11"/>
      <x:c r="N34" s="11"/>
      <x:c r="O34" s="11" t="str">
        <x:v>LAB-ASSET-033</x:v>
      </x:c>
      <x:c r="P34" s="11" t="str">
        <x:v>Critical</x:v>
      </x:c>
      <x:c r="Q34" s="11" t="str">
        <x:v>DMZ</x:v>
      </x:c>
      <x:c r="R34" s="11" t="str">
        <x:v>Low</x:v>
      </x:c>
      <x:c r="S34" s="11"/>
      <x:c r="T34" s="11"/>
      <x:c r="U34" s="11" t="str">
        <x:v>https://nvd.nist.gov/vuln/detail/CVE-2026-86218</x:v>
      </x:c>
      <x:c r="V34" s="11" t="str">
        <x:v>https://api.first.org/data/v1/epss?cve=CVE-2026-86218</x:v>
      </x:c>
      <x:c r="W34" s="11" t="str">
        <x:v>OFFICIAL_CVE_KEV_IDENTITY / CVSS_EPSS_PENDING_REFRESH</x:v>
      </x:c>
    </x:row>
    <x:row r="35">
      <x:c r="A35" s="11" t="str">
        <x:v>V2-FROZEN-50</x:v>
      </x:c>
      <x:c r="B35" s="11" t="str">
        <x:v>CVE-2026-85880</x:v>
      </x:c>
      <x:c r="C35" s="11" t="str">
        <x:v>Microsoft</x:v>
      </x:c>
      <x:c r="D35" s="11" t="str">
        <x:v>Windows</x:v>
      </x:c>
      <x:c r="E35" s="11" t="str">
        <x:v>Microsoft Windows Heap-Based Buffer Overflow Vulnerability</x:v>
      </x:c>
      <x:c r="F35" s="11" t="str">
        <x:v>CWE-122, CWE-908</x:v>
      </x:c>
      <x:c r="G35" s="11" t="str">
        <x:v>YES</x:v>
      </x:c>
      <x:c r="H35" s="11" t="str">
        <x:v>2026-09-08</x:v>
      </x:c>
      <x:c r="I35" s="11"/>
      <x:c r="J35" s="11"/>
      <x:c r="K35" s="11"/>
      <x:c r="L35" s="11"/>
      <x:c r="M35" s="11"/>
      <x:c r="N35" s="11"/>
      <x:c r="O35" s="11" t="str">
        <x:v>LAB-ASSET-034</x:v>
      </x:c>
      <x:c r="P35" s="11" t="str">
        <x:v>Critical</x:v>
      </x:c>
      <x:c r="Q35" s="11" t="str">
        <x:v>Internal</x:v>
      </x:c>
      <x:c r="R35" s="11" t="str">
        <x:v>Critical</x:v>
      </x:c>
      <x:c r="S35" s="11"/>
      <x:c r="T35" s="11"/>
      <x:c r="U35" s="11" t="str">
        <x:v>https://nvd.nist.gov/vuln/detail/CVE-2026-85880</x:v>
      </x:c>
      <x:c r="V35" s="11" t="str">
        <x:v>https://api.first.org/data/v1/epss?cve=CVE-2026-85880</x:v>
      </x:c>
      <x:c r="W35" s="11" t="str">
        <x:v>OFFICIAL_CVE_KEV_IDENTITY / CVSS_EPSS_PENDING_REFRESH</x:v>
      </x:c>
    </x:row>
    <x:row r="36">
      <x:c r="A36" s="11" t="str">
        <x:v>V2-FROZEN-50</x:v>
      </x:c>
      <x:c r="B36" s="11" t="str">
        <x:v>CVE-2026-85046</x:v>
      </x:c>
      <x:c r="C36" s="11" t="str">
        <x:v>Google</x:v>
      </x:c>
      <x:c r="D36" s="11" t="str">
        <x:v>Chromium V8</x:v>
      </x:c>
      <x:c r="E36" s="11" t="str">
        <x:v>Google Chromium V8 Type Confusion Vulnerability</x:v>
      </x:c>
      <x:c r="F36" s="11" t="str">
        <x:v>CWE-843</x:v>
      </x:c>
      <x:c r="G36" s="11" t="str">
        <x:v>YES</x:v>
      </x:c>
      <x:c r="H36" s="11" t="str">
        <x:v>2026-09-04</x:v>
      </x:c>
      <x:c r="I36" s="11"/>
      <x:c r="J36" s="11"/>
      <x:c r="K36" s="11"/>
      <x:c r="L36" s="11"/>
      <x:c r="M36" s="11"/>
      <x:c r="N36" s="11"/>
      <x:c r="O36" s="11" t="str">
        <x:v>LAB-ASSET-035</x:v>
      </x:c>
      <x:c r="P36" s="11" t="str">
        <x:v>Medium</x:v>
      </x:c>
      <x:c r="Q36" s="11" t="str">
        <x:v>DMZ</x:v>
      </x:c>
      <x:c r="R36" s="11" t="str">
        <x:v>Medium</x:v>
      </x:c>
      <x:c r="S36" s="11"/>
      <x:c r="T36" s="11"/>
      <x:c r="U36" s="11" t="str">
        <x:v>https://nvd.nist.gov/vuln/detail/CVE-2026-85046</x:v>
      </x:c>
      <x:c r="V36" s="11" t="str">
        <x:v>https://api.first.org/data/v1/epss?cve=CVE-2026-85046</x:v>
      </x:c>
      <x:c r="W36" s="11" t="str">
        <x:v>OFFICIAL_CVE_KEV_IDENTITY / CVSS_EPSS_PENDING_REFRESH</x:v>
      </x:c>
    </x:row>
    <x:row r="37">
      <x:c r="A37" s="11" t="str">
        <x:v>V2-FROZEN-50</x:v>
      </x:c>
      <x:c r="B37" s="11" t="str">
        <x:v>CVE-2026-59822</x:v>
      </x:c>
      <x:c r="C37" s="11" t="str">
        <x:v>BerriAI</x:v>
      </x:c>
      <x:c r="D37" s="11" t="str">
        <x:v>LiteLLM</x:v>
      </x:c>
      <x:c r="E37" s="11" t="str">
        <x:v>BerriAI LiteLLM Improper Authentication Vulnerability</x:v>
      </x:c>
      <x:c r="F37" s="11" t="str">
        <x:v>CWE-287, CWE-306</x:v>
      </x:c>
      <x:c r="G37" s="11" t="str">
        <x:v>YES</x:v>
      </x:c>
      <x:c r="H37" s="11" t="str">
        <x:v>2026-09-02</x:v>
      </x:c>
      <x:c r="I37" s="11"/>
      <x:c r="J37" s="11"/>
      <x:c r="K37" s="11"/>
      <x:c r="L37" s="11"/>
      <x:c r="M37" s="11"/>
      <x:c r="N37" s="11"/>
      <x:c r="O37" s="11" t="str">
        <x:v>LAB-ASSET-036</x:v>
      </x:c>
      <x:c r="P37" s="11" t="str">
        <x:v>Low</x:v>
      </x:c>
      <x:c r="Q37" s="11" t="str">
        <x:v>DMZ</x:v>
      </x:c>
      <x:c r="R37" s="11" t="str">
        <x:v>Low</x:v>
      </x:c>
      <x:c r="S37" s="11"/>
      <x:c r="T37" s="11"/>
      <x:c r="U37" s="11" t="str">
        <x:v>https://nvd.nist.gov/vuln/detail/CVE-2026-59822</x:v>
      </x:c>
      <x:c r="V37" s="11" t="str">
        <x:v>https://api.first.org/data/v1/epss?cve=CVE-2026-59822</x:v>
      </x:c>
      <x:c r="W37" s="11" t="str">
        <x:v>OFFICIAL_CVE_KEV_IDENTITY / CVSS_EPSS_PENDING_REFRESH</x:v>
      </x:c>
    </x:row>
    <x:row r="38">
      <x:c r="A38" s="11" t="str">
        <x:v>V2-FROZEN-50</x:v>
      </x:c>
      <x:c r="B38" s="11" t="str">
        <x:v>CVE-2026-48710</x:v>
      </x:c>
      <x:c r="C38" s="11" t="str">
        <x:v>Kludex</x:v>
      </x:c>
      <x:c r="D38" s="11" t="str">
        <x:v>Starlette</x:v>
      </x:c>
      <x:c r="E38" s="11" t="str">
        <x:v>Kludex Starlette HTTP Request/Response Smuggling Vulnerability</x:v>
      </x:c>
      <x:c r="F38" s="11" t="str">
        <x:v>CWE-444</x:v>
      </x:c>
      <x:c r="G38" s="11" t="str">
        <x:v>YES</x:v>
      </x:c>
      <x:c r="H38" s="11" t="str">
        <x:v>2026-09-02</x:v>
      </x:c>
      <x:c r="I38" s="11"/>
      <x:c r="J38" s="11"/>
      <x:c r="K38" s="11"/>
      <x:c r="L38" s="11"/>
      <x:c r="M38" s="11"/>
      <x:c r="N38" s="11"/>
      <x:c r="O38" s="11" t="str">
        <x:v>LAB-ASSET-037</x:v>
      </x:c>
      <x:c r="P38" s="11" t="str">
        <x:v>High</x:v>
      </x:c>
      <x:c r="Q38" s="11" t="str">
        <x:v>Internet</x:v>
      </x:c>
      <x:c r="R38" s="11" t="str">
        <x:v>High</x:v>
      </x:c>
      <x:c r="S38" s="11"/>
      <x:c r="T38" s="11"/>
      <x:c r="U38" s="11" t="str">
        <x:v>https://nvd.nist.gov/vuln/detail/CVE-2026-48710</x:v>
      </x:c>
      <x:c r="V38" s="11" t="str">
        <x:v>https://api.first.org/data/v1/epss?cve=CVE-2026-48710</x:v>
      </x:c>
      <x:c r="W38" s="11" t="str">
        <x:v>OFFICIAL_CVE_KEV_IDENTITY / CVSS_EPSS_PENDING_REFRESH</x:v>
      </x:c>
    </x:row>
    <x:row r="39">
      <x:c r="A39" s="11" t="str">
        <x:v>V2-FROZEN-50</x:v>
      </x:c>
      <x:c r="B39" s="11" t="str">
        <x:v>CVE-2026-49869</x:v>
      </x:c>
      <x:c r="C39" s="11" t="str">
        <x:v>Kestra</x:v>
      </x:c>
      <x:c r="D39" s="11" t="str">
        <x:v>Kestra OSS</x:v>
      </x:c>
      <x:c r="E39" s="11" t="str">
        <x:v>Kestra OSS OS Command Injection Vulnerability</x:v>
      </x:c>
      <x:c r="F39" s="11" t="str">
        <x:v>CWE-78, CWE-184, CWE-287, CWE-918</x:v>
      </x:c>
      <x:c r="G39" s="11" t="str">
        <x:v>YES</x:v>
      </x:c>
      <x:c r="H39" s="11" t="str">
        <x:v>2026-09-02</x:v>
      </x:c>
      <x:c r="I39" s="11"/>
      <x:c r="J39" s="11"/>
      <x:c r="K39" s="11"/>
      <x:c r="L39" s="11"/>
      <x:c r="M39" s="11"/>
      <x:c r="N39" s="11"/>
      <x:c r="O39" s="11" t="str">
        <x:v>LAB-ASSET-038</x:v>
      </x:c>
      <x:c r="P39" s="11" t="str">
        <x:v>High</x:v>
      </x:c>
      <x:c r="Q39" s="11" t="str">
        <x:v>Internet</x:v>
      </x:c>
      <x:c r="R39" s="11" t="str">
        <x:v>High</x:v>
      </x:c>
      <x:c r="S39" s="11"/>
      <x:c r="T39" s="11"/>
      <x:c r="U39" s="11" t="str">
        <x:v>https://nvd.nist.gov/vuln/detail/CVE-2026-49869</x:v>
      </x:c>
      <x:c r="V39" s="11" t="str">
        <x:v>https://api.first.org/data/v1/epss?cve=CVE-2026-49869</x:v>
      </x:c>
      <x:c r="W39" s="11" t="str">
        <x:v>OFFICIAL_CVE_KEV_IDENTITY / CVSS_EPSS_PENDING_REFRESH</x:v>
      </x:c>
    </x:row>
    <x:row r="40">
      <x:c r="A40" s="11" t="str">
        <x:v>V2-FROZEN-50</x:v>
      </x:c>
      <x:c r="B40" s="11" t="str">
        <x:v>CVE-2026-82329</x:v>
      </x:c>
      <x:c r="C40" s="11" t="str">
        <x:v>JFrog</x:v>
      </x:c>
      <x:c r="D40" s="11" t="str">
        <x:v>Artifactory</x:v>
      </x:c>
      <x:c r="E40" s="11" t="str">
        <x:v>JFrog Artifactory Improper Authentication Vulnerability</x:v>
      </x:c>
      <x:c r="F40" s="11" t="str">
        <x:v>CWE-287</x:v>
      </x:c>
      <x:c r="G40" s="11" t="str">
        <x:v>YES</x:v>
      </x:c>
      <x:c r="H40" s="11" t="str">
        <x:v>2026-09-02</x:v>
      </x:c>
      <x:c r="I40" s="11"/>
      <x:c r="J40" s="11"/>
      <x:c r="K40" s="11"/>
      <x:c r="L40" s="11"/>
      <x:c r="M40" s="11"/>
      <x:c r="N40" s="11"/>
      <x:c r="O40" s="11" t="str">
        <x:v>LAB-ASSET-039</x:v>
      </x:c>
      <x:c r="P40" s="11" t="str">
        <x:v>Critical</x:v>
      </x:c>
      <x:c r="Q40" s="11" t="str">
        <x:v>DMZ</x:v>
      </x:c>
      <x:c r="R40" s="11" t="str">
        <x:v>Medium</x:v>
      </x:c>
      <x:c r="S40" s="11"/>
      <x:c r="T40" s="11"/>
      <x:c r="U40" s="11" t="str">
        <x:v>https://nvd.nist.gov/vuln/detail/CVE-2026-82329</x:v>
      </x:c>
      <x:c r="V40" s="11" t="str">
        <x:v>https://api.first.org/data/v1/epss?cve=CVE-2026-82329</x:v>
      </x:c>
      <x:c r="W40" s="11" t="str">
        <x:v>OFFICIAL_CVE_KEV_IDENTITY / CVSS_EPSS_PENDING_REFRESH</x:v>
      </x:c>
    </x:row>
    <x:row r="41">
      <x:c r="A41" s="11" t="str">
        <x:v>V2-FROZEN-50</x:v>
      </x:c>
      <x:c r="B41" s="11" t="str">
        <x:v>CVE-2026-9586</x:v>
      </x:c>
      <x:c r="C41" s="11" t="str">
        <x:v>Sangoma</x:v>
      </x:c>
      <x:c r="D41" s="11" t="str">
        <x:v>Switchvox</x:v>
      </x:c>
      <x:c r="E41" s="11" t="str">
        <x:v>Sangoma Switchvox SQL Injection Vulnerability</x:v>
      </x:c>
      <x:c r="F41" s="11" t="str">
        <x:v>CWE-89</x:v>
      </x:c>
      <x:c r="G41" s="11" t="str">
        <x:v>YES</x:v>
      </x:c>
      <x:c r="H41" s="11" t="str">
        <x:v>2026-09-02</x:v>
      </x:c>
      <x:c r="I41" s="11"/>
      <x:c r="J41" s="11"/>
      <x:c r="K41" s="11"/>
      <x:c r="L41" s="11"/>
      <x:c r="M41" s="11"/>
      <x:c r="N41" s="11"/>
      <x:c r="O41" s="11" t="str">
        <x:v>LAB-ASSET-040</x:v>
      </x:c>
      <x:c r="P41" s="11" t="str">
        <x:v>High</x:v>
      </x:c>
      <x:c r="Q41" s="11" t="str">
        <x:v>Internet</x:v>
      </x:c>
      <x:c r="R41" s="11" t="str">
        <x:v>High</x:v>
      </x:c>
      <x:c r="S41" s="11"/>
      <x:c r="T41" s="11"/>
      <x:c r="U41" s="11" t="str">
        <x:v>https://nvd.nist.gov/vuln/detail/CVE-2026-9586</x:v>
      </x:c>
      <x:c r="V41" s="11" t="str">
        <x:v>https://api.first.org/data/v1/epss?cve=CVE-2026-9586</x:v>
      </x:c>
      <x:c r="W41" s="11" t="str">
        <x:v>OFFICIAL_CVE_KEV_IDENTITY / CVSS_EPSS_PENDING_REFRESH</x:v>
      </x:c>
    </x:row>
    <x:row r="42">
      <x:c r="A42" s="11" t="str">
        <x:v>V2-FROZEN-50</x:v>
      </x:c>
      <x:c r="B42" s="11" t="str">
        <x:v>CVE-2026-83548</x:v>
      </x:c>
      <x:c r="C42" s="11" t="str">
        <x:v>SonicWall</x:v>
      </x:c>
      <x:c r="D42" s="11" t="str">
        <x:v>SMA1000 Appliances</x:v>
      </x:c>
      <x:c r="E42" s="11" t="str">
        <x:v>SonicWall SMA1000 Appliances Server-Side Request Forgery Vulnerability</x:v>
      </x:c>
      <x:c r="F42" s="11" t="str">
        <x:v>CWE-918, CWE-441</x:v>
      </x:c>
      <x:c r="G42" s="11" t="str">
        <x:v>YES</x:v>
      </x:c>
      <x:c r="H42" s="11" t="str">
        <x:v>2026-09-02</x:v>
      </x:c>
      <x:c r="I42" s="11"/>
      <x:c r="J42" s="11"/>
      <x:c r="K42" s="11"/>
      <x:c r="L42" s="11"/>
      <x:c r="M42" s="11"/>
      <x:c r="N42" s="11"/>
      <x:c r="O42" s="11" t="str">
        <x:v>LAB-ASSET-041</x:v>
      </x:c>
      <x:c r="P42" s="11" t="str">
        <x:v>Low</x:v>
      </x:c>
      <x:c r="Q42" s="11" t="str">
        <x:v>Internal</x:v>
      </x:c>
      <x:c r="R42" s="11" t="str">
        <x:v>Medium</x:v>
      </x:c>
      <x:c r="S42" s="11"/>
      <x:c r="T42" s="11"/>
      <x:c r="U42" s="11" t="str">
        <x:v>https://nvd.nist.gov/vuln/detail/CVE-2026-83548</x:v>
      </x:c>
      <x:c r="V42" s="11" t="str">
        <x:v>https://api.first.org/data/v1/epss?cve=CVE-2026-83548</x:v>
      </x:c>
      <x:c r="W42" s="11" t="str">
        <x:v>OFFICIAL_CVE_KEV_IDENTITY / CVSS_EPSS_PENDING_REFRESH</x:v>
      </x:c>
    </x:row>
    <x:row r="43">
      <x:c r="A43" s="11" t="str">
        <x:v>V2-FROZEN-50</x:v>
      </x:c>
      <x:c r="B43" s="11" t="str">
        <x:v>CVE-2026-83549</x:v>
      </x:c>
      <x:c r="C43" s="11" t="str">
        <x:v>SonicWall</x:v>
      </x:c>
      <x:c r="D43" s="11" t="str">
        <x:v>SMA1000 Appliances</x:v>
      </x:c>
      <x:c r="E43" s="11" t="str">
        <x:v>SonicWall SMA1000 Appliances OS Command Injection Vulnerability</x:v>
      </x:c>
      <x:c r="F43" s="11" t="str">
        <x:v>CWE-78</x:v>
      </x:c>
      <x:c r="G43" s="11" t="str">
        <x:v>YES</x:v>
      </x:c>
      <x:c r="H43" s="11" t="str">
        <x:v>2026-09-02</x:v>
      </x:c>
      <x:c r="I43" s="11"/>
      <x:c r="J43" s="11"/>
      <x:c r="K43" s="11"/>
      <x:c r="L43" s="11"/>
      <x:c r="M43" s="11"/>
      <x:c r="N43" s="11"/>
      <x:c r="O43" s="11" t="str">
        <x:v>LAB-ASSET-042</x:v>
      </x:c>
      <x:c r="P43" s="11" t="str">
        <x:v>Critical</x:v>
      </x:c>
      <x:c r="Q43" s="11" t="str">
        <x:v>DMZ</x:v>
      </x:c>
      <x:c r="R43" s="11" t="str">
        <x:v>High</x:v>
      </x:c>
      <x:c r="S43" s="11"/>
      <x:c r="T43" s="11"/>
      <x:c r="U43" s="11" t="str">
        <x:v>https://nvd.nist.gov/vuln/detail/CVE-2026-83549</x:v>
      </x:c>
      <x:c r="V43" s="11" t="str">
        <x:v>https://api.first.org/data/v1/epss?cve=CVE-2026-83549</x:v>
      </x:c>
      <x:c r="W43" s="11" t="str">
        <x:v>OFFICIAL_CVE_KEV_IDENTITY / CVSS_EPSS_PENDING_REFRESH</x:v>
      </x:c>
    </x:row>
    <x:row r="44">
      <x:c r="A44" s="11" t="str">
        <x:v>V2-FROZEN-50</x:v>
      </x:c>
      <x:c r="B44" s="11" t="str">
        <x:v>CVE-2026-82078</x:v>
      </x:c>
      <x:c r="C44" s="11" t="str">
        <x:v>PaperCut</x:v>
      </x:c>
      <x:c r="D44" s="11" t="str">
        <x:v>NG/MF</x:v>
      </x:c>
      <x:c r="E44" s="11" t="str">
        <x:v>PaperCut NG/MF Unsafe Reflection Vulnerability</x:v>
      </x:c>
      <x:c r="F44" s="11" t="str">
        <x:v>CWE-470</x:v>
      </x:c>
      <x:c r="G44" s="11" t="str">
        <x:v>YES</x:v>
      </x:c>
      <x:c r="H44" s="11" t="str">
        <x:v>2026-08-31</x:v>
      </x:c>
      <x:c r="I44" s="11"/>
      <x:c r="J44" s="11"/>
      <x:c r="K44" s="11"/>
      <x:c r="L44" s="11"/>
      <x:c r="M44" s="11"/>
      <x:c r="N44" s="11"/>
      <x:c r="O44" s="11" t="str">
        <x:v>LAB-ASSET-043</x:v>
      </x:c>
      <x:c r="P44" s="11" t="str">
        <x:v>Critical</x:v>
      </x:c>
      <x:c r="Q44" s="11" t="str">
        <x:v>Internal</x:v>
      </x:c>
      <x:c r="R44" s="11" t="str">
        <x:v>Low</x:v>
      </x:c>
      <x:c r="S44" s="11"/>
      <x:c r="T44" s="11"/>
      <x:c r="U44" s="11" t="str">
        <x:v>https://nvd.nist.gov/vuln/detail/CVE-2026-82078</x:v>
      </x:c>
      <x:c r="V44" s="11" t="str">
        <x:v>https://api.first.org/data/v1/epss?cve=CVE-2026-82078</x:v>
      </x:c>
      <x:c r="W44" s="11" t="str">
        <x:v>OFFICIAL_CVE_KEV_IDENTITY / CVSS_EPSS_PENDING_REFRESH</x:v>
      </x:c>
    </x:row>
    <x:row r="45">
      <x:c r="A45" s="11" t="str">
        <x:v>V2-FROZEN-50</x:v>
      </x:c>
      <x:c r="B45" s="11" t="str">
        <x:v>CVE-2026-81578</x:v>
      </x:c>
      <x:c r="C45" s="11" t="str">
        <x:v>PaperCut</x:v>
      </x:c>
      <x:c r="D45" s="11" t="str">
        <x:v>NG/MF</x:v>
      </x:c>
      <x:c r="E45" s="11" t="str">
        <x:v>PaperCut NG/MF Missing Authentication for Critical Function Vulnerability</x:v>
      </x:c>
      <x:c r="F45" s="11" t="str">
        <x:v>CWE-306</x:v>
      </x:c>
      <x:c r="G45" s="11" t="str">
        <x:v>YES</x:v>
      </x:c>
      <x:c r="H45" s="11" t="str">
        <x:v>2026-08-31</x:v>
      </x:c>
      <x:c r="I45" s="11"/>
      <x:c r="J45" s="11"/>
      <x:c r="K45" s="11"/>
      <x:c r="L45" s="11"/>
      <x:c r="M45" s="11"/>
      <x:c r="N45" s="11"/>
      <x:c r="O45" s="11" t="str">
        <x:v>LAB-ASSET-044</x:v>
      </x:c>
      <x:c r="P45" s="11" t="str">
        <x:v>Medium</x:v>
      </x:c>
      <x:c r="Q45" s="11" t="str">
        <x:v>Internal</x:v>
      </x:c>
      <x:c r="R45" s="11" t="str">
        <x:v>High</x:v>
      </x:c>
      <x:c r="S45" s="11"/>
      <x:c r="T45" s="11"/>
      <x:c r="U45" s="11" t="str">
        <x:v>https://nvd.nist.gov/vuln/detail/CVE-2026-81578</x:v>
      </x:c>
      <x:c r="V45" s="11" t="str">
        <x:v>https://api.first.org/data/v1/epss?cve=CVE-2026-81578</x:v>
      </x:c>
      <x:c r="W45" s="11" t="str">
        <x:v>OFFICIAL_CVE_KEV_IDENTITY / CVSS_EPSS_PENDING_REFRESH</x:v>
      </x:c>
    </x:row>
    <x:row r="46">
      <x:c r="A46" s="11" t="str">
        <x:v>V2-FROZEN-50</x:v>
      </x:c>
      <x:c r="B46" s="11" t="str">
        <x:v>CVE-2023-49105</x:v>
      </x:c>
      <x:c r="C46" s="11" t="str">
        <x:v>ownCloud</x:v>
      </x:c>
      <x:c r="D46" s="11" t="str">
        <x:v>ownCloud</x:v>
      </x:c>
      <x:c r="E46" s="11" t="str">
        <x:v>ownCloud Improper Authentication Vulnerability</x:v>
      </x:c>
      <x:c r="F46" s="11" t="str">
        <x:v>CWE-287</x:v>
      </x:c>
      <x:c r="G46" s="11" t="str">
        <x:v>YES</x:v>
      </x:c>
      <x:c r="H46" s="11" t="str">
        <x:v>2026-08-27</x:v>
      </x:c>
      <x:c r="I46" s="11"/>
      <x:c r="J46" s="11"/>
      <x:c r="K46" s="11"/>
      <x:c r="L46" s="11"/>
      <x:c r="M46" s="11"/>
      <x:c r="N46" s="11"/>
      <x:c r="O46" s="11" t="str">
        <x:v>LAB-ASSET-045</x:v>
      </x:c>
      <x:c r="P46" s="11" t="str">
        <x:v>Critical</x:v>
      </x:c>
      <x:c r="Q46" s="11" t="str">
        <x:v>Internet</x:v>
      </x:c>
      <x:c r="R46" s="11" t="str">
        <x:v>Critical</x:v>
      </x:c>
      <x:c r="S46" s="11"/>
      <x:c r="T46" s="11"/>
      <x:c r="U46" s="11" t="str">
        <x:v>https://nvd.nist.gov/vuln/detail/CVE-2023-49105</x:v>
      </x:c>
      <x:c r="V46" s="11" t="str">
        <x:v>https://api.first.org/data/v1/epss?cve=CVE-2023-49105</x:v>
      </x:c>
      <x:c r="W46" s="11" t="str">
        <x:v>OFFICIAL_CVE_KEV_IDENTITY / CVSS_EPSS_PENDING_REFRESH</x:v>
      </x:c>
    </x:row>
    <x:row r="47">
      <x:c r="A47" s="11" t="str">
        <x:v>V2-FROZEN-50</x:v>
      </x:c>
      <x:c r="B47" s="11" t="str">
        <x:v>CVE-2026-53362</x:v>
      </x:c>
      <x:c r="C47" s="11" t="str">
        <x:v>Linux</x:v>
      </x:c>
      <x:c r="D47" s="11" t="str">
        <x:v>Kernel</x:v>
      </x:c>
      <x:c r="E47" s="11" t="str">
        <x:v>Linux Kernel Unspecified Vulnerability</x:v>
      </x:c>
      <x:c r="F47" s="11" t="str"/>
      <x:c r="G47" s="11" t="str">
        <x:v>YES</x:v>
      </x:c>
      <x:c r="H47" s="11" t="str">
        <x:v>2026-08-27</x:v>
      </x:c>
      <x:c r="I47" s="11"/>
      <x:c r="J47" s="11"/>
      <x:c r="K47" s="11"/>
      <x:c r="L47" s="11"/>
      <x:c r="M47" s="11"/>
      <x:c r="N47" s="11"/>
      <x:c r="O47" s="11" t="str">
        <x:v>LAB-ASSET-046</x:v>
      </x:c>
      <x:c r="P47" s="11" t="str">
        <x:v>High</x:v>
      </x:c>
      <x:c r="Q47" s="11" t="str">
        <x:v>Internet</x:v>
      </x:c>
      <x:c r="R47" s="11" t="str">
        <x:v>High</x:v>
      </x:c>
      <x:c r="S47" s="11"/>
      <x:c r="T47" s="11"/>
      <x:c r="U47" s="11" t="str">
        <x:v>https://nvd.nist.gov/vuln/detail/CVE-2026-53362</x:v>
      </x:c>
      <x:c r="V47" s="11" t="str">
        <x:v>https://api.first.org/data/v1/epss?cve=CVE-2026-53362</x:v>
      </x:c>
      <x:c r="W47" s="11" t="str">
        <x:v>OFFICIAL_CVE_KEV_IDENTITY / CVSS_EPSS_PENDING_REFRESH</x:v>
      </x:c>
    </x:row>
    <x:row r="48">
      <x:c r="A48" s="11" t="str">
        <x:v>V2-FROZEN-50</x:v>
      </x:c>
      <x:c r="B48" s="11" t="str">
        <x:v>CVE-2026-66384</x:v>
      </x:c>
      <x:c r="C48" s="11" t="str">
        <x:v>JFrog</x:v>
      </x:c>
      <x:c r="D48" s="11" t="str">
        <x:v>Artifactory</x:v>
      </x:c>
      <x:c r="E48" s="11" t="str">
        <x:v>JFrog Artifactory Improper Limitation of a Pathname to a Restricted Directory Vulnerability</x:v>
      </x:c>
      <x:c r="F48" s="11" t="str">
        <x:v>CWE-22</x:v>
      </x:c>
      <x:c r="G48" s="11" t="str">
        <x:v>YES</x:v>
      </x:c>
      <x:c r="H48" s="11" t="str">
        <x:v>2026-08-27</x:v>
      </x:c>
      <x:c r="I48" s="11"/>
      <x:c r="J48" s="11"/>
      <x:c r="K48" s="11"/>
      <x:c r="L48" s="11"/>
      <x:c r="M48" s="11"/>
      <x:c r="N48" s="11"/>
      <x:c r="O48" s="11" t="str">
        <x:v>LAB-ASSET-047</x:v>
      </x:c>
      <x:c r="P48" s="11" t="str">
        <x:v>Critical</x:v>
      </x:c>
      <x:c r="Q48" s="11" t="str">
        <x:v>Internal</x:v>
      </x:c>
      <x:c r="R48" s="11" t="str">
        <x:v>High</x:v>
      </x:c>
      <x:c r="S48" s="11"/>
      <x:c r="T48" s="11"/>
      <x:c r="U48" s="11" t="str">
        <x:v>https://nvd.nist.gov/vuln/detail/CVE-2026-66384</x:v>
      </x:c>
      <x:c r="V48" s="11" t="str">
        <x:v>https://api.first.org/data/v1/epss?cve=CVE-2026-66384</x:v>
      </x:c>
      <x:c r="W48" s="11" t="str">
        <x:v>OFFICIAL_CVE_KEV_IDENTITY / CVSS_EPSS_PENDING_REFRESH</x:v>
      </x:c>
    </x:row>
    <x:row r="49">
      <x:c r="A49" s="11" t="str">
        <x:v>V2-FROZEN-50</x:v>
      </x:c>
      <x:c r="B49" s="11" t="str">
        <x:v>CVE-2021-23758</x:v>
      </x:c>
      <x:c r="C49" s="11" t="str">
        <x:v>Ajax.NET Professional</x:v>
      </x:c>
      <x:c r="D49" s="11" t="str">
        <x:v>Ajax.NET Professional</x:v>
      </x:c>
      <x:c r="E49" s="11" t="str">
        <x:v>Ajax.NET Professional Deserialization of Untrusted Data Vulnerability</x:v>
      </x:c>
      <x:c r="F49" s="11" t="str">
        <x:v>CWE-502</x:v>
      </x:c>
      <x:c r="G49" s="11" t="str">
        <x:v>YES</x:v>
      </x:c>
      <x:c r="H49" s="11" t="str">
        <x:v>2026-08-26</x:v>
      </x:c>
      <x:c r="I49" s="11"/>
      <x:c r="J49" s="11"/>
      <x:c r="K49" s="11"/>
      <x:c r="L49" s="11"/>
      <x:c r="M49" s="11"/>
      <x:c r="N49" s="11"/>
      <x:c r="O49" s="11" t="str">
        <x:v>LAB-ASSET-048</x:v>
      </x:c>
      <x:c r="P49" s="11" t="str">
        <x:v>Critical</x:v>
      </x:c>
      <x:c r="Q49" s="11" t="str">
        <x:v>Internet</x:v>
      </x:c>
      <x:c r="R49" s="11" t="str">
        <x:v>High</x:v>
      </x:c>
      <x:c r="S49" s="11"/>
      <x:c r="T49" s="11"/>
      <x:c r="U49" s="11" t="str">
        <x:v>https://nvd.nist.gov/vuln/detail/CVE-2021-23758</x:v>
      </x:c>
      <x:c r="V49" s="11" t="str">
        <x:v>https://api.first.org/data/v1/epss?cve=CVE-2021-23758</x:v>
      </x:c>
      <x:c r="W49" s="11" t="str">
        <x:v>OFFICIAL_CVE_KEV_IDENTITY / CVSS_EPSS_PENDING_REFRESH</x:v>
      </x:c>
    </x:row>
    <x:row r="50">
      <x:c r="A50" s="11" t="str">
        <x:v>V2-FROZEN-50</x:v>
      </x:c>
      <x:c r="B50" s="11" t="str">
        <x:v>CVE-2015-3246</x:v>
      </x:c>
      <x:c r="C50" s="11" t="str">
        <x:v>Red Hat</x:v>
      </x:c>
      <x:c r="D50" s="11" t="str">
        <x:v>Libuser</x:v>
      </x:c>
      <x:c r="E50" s="11" t="str">
        <x:v>Red Hat Libuser Race Condition Vulnerability</x:v>
      </x:c>
      <x:c r="F50" s="11" t="str"/>
      <x:c r="G50" s="11" t="str">
        <x:v>YES</x:v>
      </x:c>
      <x:c r="H50" s="11" t="str">
        <x:v>2026-08-26</x:v>
      </x:c>
      <x:c r="I50" s="11"/>
      <x:c r="J50" s="11"/>
      <x:c r="K50" s="11"/>
      <x:c r="L50" s="11"/>
      <x:c r="M50" s="11"/>
      <x:c r="N50" s="11"/>
      <x:c r="O50" s="11" t="str">
        <x:v>LAB-ASSET-049</x:v>
      </x:c>
      <x:c r="P50" s="11" t="str">
        <x:v>Medium</x:v>
      </x:c>
      <x:c r="Q50" s="11" t="str">
        <x:v>Internet</x:v>
      </x:c>
      <x:c r="R50" s="11" t="str">
        <x:v>Critical</x:v>
      </x:c>
      <x:c r="S50" s="11"/>
      <x:c r="T50" s="11"/>
      <x:c r="U50" s="11" t="str">
        <x:v>https://nvd.nist.gov/vuln/detail/CVE-2015-3246</x:v>
      </x:c>
      <x:c r="V50" s="11" t="str">
        <x:v>https://api.first.org/data/v1/epss?cve=CVE-2015-3246</x:v>
      </x:c>
      <x:c r="W50" s="11" t="str">
        <x:v>OFFICIAL_CVE_KEV_IDENTITY / CVSS_EPSS_PENDING_REFRESH</x:v>
      </x:c>
    </x:row>
    <x:row r="51">
      <x:c r="A51" s="11" t="str">
        <x:v>V2-FROZEN-50</x:v>
      </x:c>
      <x:c r="B51" s="11" t="str">
        <x:v>CVE-2015-5287</x:v>
      </x:c>
      <x:c r="C51" s="11" t="str">
        <x:v>Red Hat</x:v>
      </x:c>
      <x:c r="D51" s="11" t="str">
        <x:v>Automatic Bug Reporting Tool</x:v>
      </x:c>
      <x:c r="E51" s="11" t="str">
        <x:v>Red Hat Automatic Bug Reporting Tool Privilege Escalation Vulnerability</x:v>
      </x:c>
      <x:c r="F51" s="11" t="str"/>
      <x:c r="G51" s="11" t="str">
        <x:v>YES</x:v>
      </x:c>
      <x:c r="H51" s="11" t="str">
        <x:v>2026-08-26</x:v>
      </x:c>
      <x:c r="I51" s="11"/>
      <x:c r="J51" s="11"/>
      <x:c r="K51" s="11"/>
      <x:c r="L51" s="11"/>
      <x:c r="M51" s="11"/>
      <x:c r="N51" s="11"/>
      <x:c r="O51" s="11" t="str">
        <x:v>LAB-ASSET-050</x:v>
      </x:c>
      <x:c r="P51" s="11" t="str">
        <x:v>Critical</x:v>
      </x:c>
      <x:c r="Q51" s="11" t="str">
        <x:v>Internal</x:v>
      </x:c>
      <x:c r="R51" s="11" t="str">
        <x:v>Medium</x:v>
      </x:c>
      <x:c r="S51" s="11"/>
      <x:c r="T51" s="11"/>
      <x:c r="U51" s="11" t="str">
        <x:v>https://nvd.nist.gov/vuln/detail/CVE-2015-5287</x:v>
      </x:c>
      <x:c r="V51" s="11" t="str">
        <x:v>https://api.first.org/data/v1/epss?cve=CVE-2015-5287</x:v>
      </x:c>
      <x:c r="W51" s="11" t="str">
        <x:v>OFFICIAL_CVE_KEV_IDENTITY / CVSS_EPSS_PENDING_REFRESH</x:v>
      </x:c>
    </x:row>
  </x:sheetData>
  <x:conditionalFormatting sqref="I2:N51">
    <x:cfRule type="expression" dxfId="0" priority="1">
      <x:formula>I2=""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40" hidden="0" customWidth="1"/>
  </x:cols>
  <x:sheetData>
    <x:row r="1">
      <x:c r="A1" s="10" t="str">
        <x:v>run_id</x:v>
      </x:c>
      <x:c r="B1" s="10" t="str">
        <x:v>timestamp</x:v>
      </x:c>
      <x:c r="C1" s="10" t="str">
        <x:v>dataset</x:v>
      </x:c>
      <x:c r="D1" s="10" t="str">
        <x:v>condition</x:v>
      </x:c>
      <x:c r="E1" s="10" t="str">
        <x:v>model</x:v>
      </x:c>
      <x:c r="F1" s="10" t="str">
        <x:v>model_version</x:v>
      </x:c>
      <x:c r="G1" s="10" t="str">
        <x:v>quantization</x:v>
      </x:c>
      <x:c r="H1" s="10" t="str">
        <x:v>rag</x:v>
      </x:c>
      <x:c r="I1" s="10" t="str">
        <x:v>cloud_fallback</x:v>
      </x:c>
      <x:c r="J1" s="10" t="str">
        <x:v>findings_n</x:v>
      </x:c>
      <x:c r="K1" s="10" t="str">
        <x:v>elapsed_s</x:v>
      </x:c>
      <x:c r="L1" s="10" t="str">
        <x:v>median_latency_s</x:v>
      </x:c>
      <x:c r="M1" s="10" t="str">
        <x:v>p95_latency_s</x:v>
      </x:c>
      <x:c r="N1" s="10" t="str">
        <x:v>p99_latency_s</x:v>
      </x:c>
      <x:c r="O1" s="10" t="str">
        <x:v>ttft_s</x:v>
      </x:c>
      <x:c r="P1" s="10" t="str">
        <x:v>tokens_in</x:v>
      </x:c>
      <x:c r="Q1" s="10" t="str">
        <x:v>tokens_out</x:v>
      </x:c>
      <x:c r="R1" s="10" t="str">
        <x:v>tokens_per_s</x:v>
      </x:c>
      <x:c r="S1" s="10" t="str">
        <x:v>cpu_avg_pct</x:v>
      </x:c>
      <x:c r="T1" s="10" t="str">
        <x:v>ram_peak_mb</x:v>
      </x:c>
      <x:c r="U1" s="10" t="str">
        <x:v>gpu_avg_pct</x:v>
      </x:c>
      <x:c r="V1" s="10" t="str">
        <x:v>vram_peak_mb</x:v>
      </x:c>
      <x:c r="W1" s="10" t="str">
        <x:v>cost_usd</x:v>
      </x:c>
      <x:c r="X1" s="10" t="str">
        <x:v>precision_at_k</x:v>
      </x:c>
      <x:c r="Y1" s="10" t="str">
        <x:v>recall_at_k</x:v>
      </x:c>
      <x:c r="Z1" s="10" t="str">
        <x:v>ndcg_at_k</x:v>
      </x:c>
      <x:c r="AA1" s="10" t="str">
        <x:v>groundedness</x:v>
      </x:c>
      <x:c r="AB1" s="10" t="str">
        <x:v>remediation_correctness</x:v>
      </x:c>
      <x:c r="AC1" s="10" t="str">
        <x:v>hallucination_rate</x:v>
      </x:c>
      <x:c r="AD1" s="10" t="str">
        <x:v>analyst_minutes_per_finding</x:v>
      </x:c>
      <x:c r="AE1" s="10" t="str">
        <x:v>accept_rate</x:v>
      </x:c>
      <x:c r="AF1" s="10" t="str">
        <x:v>edit_rate</x:v>
      </x:c>
      <x:c r="AG1" s="10" t="str">
        <x:v>reject_rate</x:v>
      </x:c>
      <x:c r="AH1" s="10" t="str">
        <x:v>notes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72" hidden="0" customWidth="1"/>
    <x:col min="4" max="4" width="48" hidden="0" customWidth="1"/>
  </x:cols>
  <x:sheetData>
    <x:row r="1">
      <x:c r="A1" s="10" t="str">
        <x:v>Research Question</x:v>
      </x:c>
      <x:c r="B1" s="10" t="str">
        <x:v>Primary Comparison</x:v>
      </x:c>
      <x:c r="C1" s="10" t="str">
        <x:v>Required Metrics</x:v>
      </x:c>
      <x:c r="D1" s="10" t="str">
        <x:v>V12 Evidence Goal</x:v>
      </x:c>
    </x:row>
    <x:row r="2">
      <x:c r="A2" s="11" t="str">
        <x:v>RQ1</x:v>
      </x:c>
      <x:c r="B2" s="11" t="str">
        <x:v>CVSS-only vs CVSS+EPSS+KEV vs V12 full risk</x:v>
      </x:c>
      <x:c r="C2" s="11" t="str">
        <x:v>Precision@K; Recall@K; nDCG@K; critical finding coverage; workload reduction</x:v>
      </x:c>
      <x:c r="D2" s="11" t="str">
        <x:v>Validate prioritization quality</x:v>
      </x:c>
    </x:row>
    <x:row r="3">
      <x:c r="A3" s="11" t="str">
        <x:v>RQ2</x:v>
      </x:c>
      <x:c r="B3" s="11" t="str">
        <x:v>LLM no-RAG vs LLM+RAG</x:v>
      </x:c>
      <x:c r="C3" s="11" t="str">
        <x:v>Retrieval P@K/R@K; groundedness; remediation correctness; hallucination rate; expert usefulness</x:v>
      </x:c>
      <x:c r="D3" s="11" t="str">
        <x:v>Quantify incremental RAG value</x:v>
      </x:c>
    </x:row>
    <x:row r="4">
      <x:c r="A4" s="11" t="str">
        <x:v>RQ3</x:v>
      </x:c>
      <x:c r="B4" s="11" t="str">
        <x:v>Local vs controlled cloud</x:v>
      </x:c>
      <x:c r="C4" s="11" t="str">
        <x:v>Median/p95/p99; TTFT; tokens/s; RAM/VRAM; CPU/GPU; fallback rate; cost/100 findings</x:v>
      </x:c>
      <x:c r="D4" s="11" t="str">
        <x:v>Quantify local-first trade-offs</x:v>
      </x:c>
    </x:row>
    <x:row r="5">
      <x:c r="A5" s="11" t="str">
        <x:v>RQ4</x:v>
      </x:c>
      <x:c r="B5" s="11" t="str">
        <x:v>Manual workflow vs V12-assisted</x:v>
      </x:c>
      <x:c r="C5" s="11" t="str">
        <x:v>Analyst min/finding; interactions; accept/edit/reject; completion quality</x:v>
      </x:c>
      <x:c r="D5" s="11" t="str">
        <x:v>Quantify analyst-effort reduction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8" hidden="0" customWidth="1"/>
    <x:col min="3" max="3" width="52" hidden="0" customWidth="1"/>
  </x:cols>
  <x:sheetData>
    <x:row r="1">
      <x:c r="A1" s="10" t="str">
        <x:v>Step</x:v>
      </x:c>
      <x:c r="B1" s="10" t="str">
        <x:v>Action</x:v>
      </x:c>
      <x:c r="C1" s="10" t="str">
        <x:v>Evidence to Save</x:v>
      </x:c>
    </x:row>
    <x:row r="2">
      <x:c r="A2" s="11" t="str">
        <x:v>1</x:v>
      </x:c>
      <x:c r="B2" s="11" t="str">
        <x:v>Freeze dataset version and record SHA-256.</x:v>
      </x:c>
      <x:c r="C2" s="11" t="str">
        <x:v>Manifest + date + dataset ID</x:v>
      </x:c>
    </x:row>
    <x:row r="3">
      <x:c r="A3" s="11" t="str">
        <x:v>2</x:v>
      </x:c>
      <x:c r="B3" s="11" t="str">
        <x:v>Run refresh_official_metrics.py on an Internet-connected test workstation.</x:v>
      </x:c>
      <x:c r="C3" s="11" t="str">
        <x:v>CVSS/EPSS values + retrieval timestamps</x:v>
      </x:c>
    </x:row>
    <x:row r="4">
      <x:c r="A4" s="11" t="str">
        <x:v>3</x:v>
      </x:c>
      <x:c r="B4" s="11" t="str">
        <x:v>Keep V12 application version frozen; do not mix V13 Performance Lab results.</x:v>
      </x:c>
      <x:c r="C4" s="11" t="str">
        <x:v>V12 build/version screenshot or hash</x:v>
      </x:c>
    </x:row>
    <x:row r="5">
      <x:c r="A5" s="11" t="str">
        <x:v>4</x:v>
      </x:c>
      <x:c r="B5" s="11" t="str">
        <x:v>Warm local model before timed trials; disable cache when measuring raw inference.</x:v>
      </x:c>
      <x:c r="C5" s="11" t="str">
        <x:v>Runtime configuration</x:v>
      </x:c>
    </x:row>
    <x:row r="6">
      <x:c r="A6" s="11" t="str">
        <x:v>5</x:v>
      </x:c>
      <x:c r="B6" s="11" t="str">
        <x:v>Execute at least 3 repeated runs per finding/condition where practical.</x:v>
      </x:c>
      <x:c r="C6" s="11" t="str">
        <x:v>Raw run rows</x:v>
      </x:c>
    </x:row>
    <x:row r="7">
      <x:c r="A7" s="11" t="str">
        <x:v>6</x:v>
      </x:c>
      <x:c r="B7" s="11" t="str">
        <x:v>Randomize condition order for L0/L1/C0/C1 comparisons.</x:v>
      </x:c>
      <x:c r="C7" s="11" t="str">
        <x:v>Execution log</x:v>
      </x:c>
    </x:row>
    <x:row r="8">
      <x:c r="A8" s="11" t="str">
        <x:v>7</x:v>
      </x:c>
      <x:c r="B8" s="11" t="str">
        <x:v>Record CPU/RAM/GPU/VRAM and token telemetry per run.</x:v>
      </x:c>
      <x:c r="C8" s="11" t="str">
        <x:v>Run_Results sheet / CSV</x:v>
      </x:c>
    </x:row>
    <x:row r="9">
      <x:c r="A9" s="11" t="str">
        <x:v>8</x:v>
      </x:c>
      <x:c r="B9" s="11" t="str">
        <x:v>For RAG, use a frozen corpus and record corpus hash, embedding model, chunking and top-k.</x:v>
      </x:c>
      <x:c r="C9" s="11" t="str">
        <x:v>RAG manifest</x:v>
      </x:c>
    </x:row>
    <x:row r="10">
      <x:c r="A10" s="11" t="str">
        <x:v>9</x:v>
      </x:c>
      <x:c r="B10" s="11" t="str">
        <x:v>For human evaluation, use two independent reviewers and adjudicate disagreements.</x:v>
      </x:c>
      <x:c r="C10" s="11" t="str">
        <x:v>Reviewer sheets + agreement metric</x:v>
      </x:c>
    </x:row>
    <x:row r="11">
      <x:c r="A11" s="11" t="str">
        <x:v>10</x:v>
      </x:c>
      <x:c r="B11" s="11" t="str">
        <x:v>Compute median, p95, p99, effect size and 95% CI before filling IEEE V3 TBD-V12 tables.</x:v>
      </x:c>
      <x:c r="C11" s="11" t="str">
        <x:v>Analysis workbook/output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65" hidden="0" customWidth="1"/>
    <x:col min="4" max="4" width="28" hidden="0" customWidth="1"/>
  </x:cols>
  <x:sheetData>
    <x:row r="1">
      <x:c r="A1" s="10" t="str">
        <x:v>Source</x:v>
      </x:c>
      <x:c r="B1" s="10" t="str">
        <x:v>Purpose</x:v>
      </x:c>
      <x:c r="C1" s="10" t="str">
        <x:v>Official URL</x:v>
      </x:c>
      <x:c r="D1" s="10" t="str">
        <x:v>Status in V2</x:v>
      </x:c>
    </x:row>
    <x:row r="2">
      <x:c r="A2" s="11" t="str">
        <x:v>CISA KEV</x:v>
      </x:c>
      <x:c r="B2" s="11" t="str">
        <x:v>Known exploited vulnerability identity and exploitation evidence</x:v>
      </x:c>
      <x:c r="C2" s="11" t="str">
        <x:v>https://www.cisa.gov/known-exploited-vulnerabilities-catalog</x:v>
      </x:c>
      <x:c r="D2" s="11" t="str">
        <x:v>Real/source-derived</x:v>
      </x:c>
    </x:row>
    <x:row r="3">
      <x:c r="A3" s="11" t="str">
        <x:v>CISA KEV GitHub</x:v>
      </x:c>
      <x:c r="B3" s="11" t="str">
        <x:v>Machine-readable KEV CSV/JSON</x:v>
      </x:c>
      <x:c r="C3" s="11" t="str">
        <x:v>https://github.com/cisagov/kev-data</x:v>
      </x:c>
      <x:c r="D3" s="11" t="str">
        <x:v>Real/source-derived</x:v>
      </x:c>
    </x:row>
    <x:row r="4">
      <x:c r="A4" s="11" t="str">
        <x:v>NIST NVD</x:v>
      </x:c>
      <x:c r="B4" s="11" t="str">
        <x:v>Official CVSS enrichment and CVE technical metadata</x:v>
      </x:c>
      <x:c r="C4" s="11" t="str">
        <x:v>https://nvd.nist.gov/developers/vulnerabilities</x:v>
      </x:c>
      <x:c r="D4" s="11" t="str">
        <x:v>Refresh script</x:v>
      </x:c>
    </x:row>
    <x:row r="5">
      <x:c r="A5" s="11" t="str">
        <x:v>FIRST EPSS</x:v>
      </x:c>
      <x:c r="B5" s="11" t="str">
        <x:v>Daily exploitation probability and percentile</x:v>
      </x:c>
      <x:c r="C5" s="11" t="str">
        <x:v>https://api.first.org/data/v1/epss</x:v>
      </x:c>
      <x:c r="D5" s="11" t="str">
        <x:v>Refresh script</x:v>
      </x:c>
    </x:row>
  </x:sheetData>
  <x:pageMargins left="0.7" right="0.7" top="0.75" bottom="0.75" header="0.3" footer="0.3"/>
</x:worksheet>
</file>